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76.png" ContentType="image/png"/>
  <Override PartName="/xl/media/image977.png" ContentType="image/png"/>
  <Override PartName="/xl/media/image978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print25-Capacity" sheetId="1" state="visible" r:id="rId2"/>
    <sheet name="Sprint25-StorySizing" sheetId="2" state="visible" r:id="rId3"/>
    <sheet name="Sheet3" sheetId="3" state="hidden" r:id="rId4"/>
    <sheet name="Sprint25-Task Estimation" sheetId="4" state="visible" r:id="rId5"/>
    <sheet name="Contribution" sheetId="5" state="visible" r:id="rId6"/>
  </sheets>
  <definedNames>
    <definedName function="false" hidden="true" localSheetId="3" name="_xlnm._FilterDatabase" vbProcedure="false">'Sprint25-Task Estimation'!$A$13:$I$61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<sst xmlns="http://schemas.openxmlformats.org/spreadsheetml/2006/main" count="318" uniqueCount="112">
  <si>
    <t xml:space="preserve">Sprint Capacity Plan</t>
  </si>
  <si>
    <t xml:space="preserve">Project</t>
  </si>
  <si>
    <t xml:space="preserve">NOVA-DIG Sprint 13</t>
  </si>
  <si>
    <t xml:space="preserve">Sprint Duration (In Days)</t>
  </si>
  <si>
    <t xml:space="preserve">Start Date</t>
  </si>
  <si>
    <t xml:space="preserve">End Date</t>
  </si>
  <si>
    <t xml:space="preserve">Resource Capacity</t>
  </si>
  <si>
    <t xml:space="preserve">Res.Name</t>
  </si>
  <si>
    <t xml:space="preserve">Capacity (Hrs)</t>
  </si>
  <si>
    <t xml:space="preserve">Contribution %</t>
  </si>
  <si>
    <t xml:space="preserve">Non Availability (Hrs)</t>
  </si>
  <si>
    <t xml:space="preserve">Available Capacity</t>
  </si>
  <si>
    <t xml:space="preserve">Saravanan P</t>
  </si>
  <si>
    <t xml:space="preserve">Surender</t>
  </si>
  <si>
    <t xml:space="preserve">Balaji Kannan</t>
  </si>
  <si>
    <t xml:space="preserve">Sivashankaran</t>
  </si>
  <si>
    <t xml:space="preserve">Pradeep</t>
  </si>
  <si>
    <t xml:space="preserve">Raviraj</t>
  </si>
  <si>
    <t xml:space="preserve">Total Capacity</t>
  </si>
  <si>
    <t xml:space="preserve">Plan Overview</t>
  </si>
  <si>
    <t xml:space="preserve">Estimated Task Total Hrs</t>
  </si>
  <si>
    <t xml:space="preserve">Load %</t>
  </si>
  <si>
    <t xml:space="preserve">Team Velocity</t>
  </si>
  <si>
    <t xml:space="preserve">Story Points Committed</t>
  </si>
  <si>
    <t xml:space="preserve">Story Sizing</t>
  </si>
  <si>
    <t xml:space="preserve">User Story No</t>
  </si>
  <si>
    <t xml:space="preserve">Balaji</t>
  </si>
  <si>
    <t xml:space="preserve">Sivasankaran</t>
  </si>
  <si>
    <t xml:space="preserve">Ravi</t>
  </si>
  <si>
    <t xml:space="preserve">Finalized S.P</t>
  </si>
  <si>
    <t xml:space="preserve">Efforts</t>
  </si>
  <si>
    <t xml:space="preserve">NOVDIGSCR-1891</t>
  </si>
  <si>
    <t xml:space="preserve">NOVDIGSCR-1858</t>
  </si>
  <si>
    <t xml:space="preserve">NOVDIGSCR-1902</t>
  </si>
  <si>
    <t xml:space="preserve">NOVDIGSCR-1847</t>
  </si>
  <si>
    <t xml:space="preserve">NOVDIGSCR-1880</t>
  </si>
  <si>
    <t xml:space="preserve">NOVDIGSCR-1869</t>
  </si>
  <si>
    <t xml:space="preserve">Total</t>
  </si>
  <si>
    <t xml:space="preserve">Reference:</t>
  </si>
  <si>
    <t xml:space="preserve">NC</t>
  </si>
  <si>
    <t xml:space="preserve">Not Able to Contribute</t>
  </si>
  <si>
    <t xml:space="preserve">Finalized Story Points</t>
  </si>
  <si>
    <t xml:space="preserve">Sizing</t>
  </si>
  <si>
    <t xml:space="preserve">Man Hrs</t>
  </si>
  <si>
    <t xml:space="preserve">&lt;=8</t>
  </si>
  <si>
    <t xml:space="preserve">&lt;=16</t>
  </si>
  <si>
    <t xml:space="preserve">&lt;=24</t>
  </si>
  <si>
    <t xml:space="preserve">&lt;=40</t>
  </si>
  <si>
    <t xml:space="preserve">&lt;=80</t>
  </si>
  <si>
    <t xml:space="preserve">Story Point</t>
  </si>
  <si>
    <t xml:space="preserve">Sum of Hours</t>
  </si>
  <si>
    <t xml:space="preserve">(empty)</t>
  </si>
  <si>
    <t xml:space="preserve">Total Result</t>
  </si>
  <si>
    <t xml:space="preserve">WBS</t>
  </si>
  <si>
    <t xml:space="preserve">Coding</t>
  </si>
  <si>
    <t xml:space="preserve">Design</t>
  </si>
  <si>
    <t xml:space="preserve">Unit Testing</t>
  </si>
  <si>
    <t xml:space="preserve">Testing</t>
  </si>
  <si>
    <t xml:space="preserve">Total Efforts</t>
  </si>
  <si>
    <t xml:space="preserve">Sno</t>
  </si>
  <si>
    <t xml:space="preserve">UserStory</t>
  </si>
  <si>
    <t xml:space="preserve">Story Description</t>
  </si>
  <si>
    <t xml:space="preserve">SubTask</t>
  </si>
  <si>
    <t xml:space="preserve">Activity</t>
  </si>
  <si>
    <t xml:space="preserve">Hours</t>
  </si>
  <si>
    <t xml:space="preserve">Resource</t>
  </si>
  <si>
    <t xml:space="preserve">NOVDIGSCR-2594 </t>
  </si>
  <si>
    <t xml:space="preserve">Media Page CR website changes</t>
  </si>
  <si>
    <t xml:space="preserve">Design Work</t>
  </si>
  <si>
    <t xml:space="preserve">Ijas</t>
  </si>
  <si>
    <t xml:space="preserve">Manikandan</t>
  </si>
  <si>
    <t xml:space="preserve">Design Review</t>
  </si>
  <si>
    <t xml:space="preserve">Muthu</t>
  </si>
  <si>
    <t xml:space="preserve">MuthulakshmiA</t>
  </si>
  <si>
    <t xml:space="preserve">UI Changes</t>
  </si>
  <si>
    <t xml:space="preserve">API Changes</t>
  </si>
  <si>
    <t xml:space="preserve">Code Changes</t>
  </si>
  <si>
    <t xml:space="preserve">Code Review</t>
  </si>
  <si>
    <t xml:space="preserve">Unit Test</t>
  </si>
  <si>
    <t xml:space="preserve">Unit test case Preparation</t>
  </si>
  <si>
    <t xml:space="preserve">Unit test case review</t>
  </si>
  <si>
    <t xml:space="preserve">Unit test execution</t>
  </si>
  <si>
    <t xml:space="preserve">KapilDev</t>
  </si>
  <si>
    <t xml:space="preserve">Test Case Prepartion </t>
  </si>
  <si>
    <t xml:space="preserve">Nihal shameem</t>
  </si>
  <si>
    <t xml:space="preserve">Test Case Review</t>
  </si>
  <si>
    <t xml:space="preserve">Saravana Muthu T</t>
  </si>
  <si>
    <t xml:space="preserve">Surendran KU</t>
  </si>
  <si>
    <t xml:space="preserve">Test Execution</t>
  </si>
  <si>
    <t xml:space="preserve">NOVDIGSCR-2570</t>
  </si>
  <si>
    <t xml:space="preserve">Social scheme – IRDIA</t>
  </si>
  <si>
    <t xml:space="preserve">Mohan</t>
  </si>
  <si>
    <t xml:space="preserve">Sivachandran</t>
  </si>
  <si>
    <t xml:space="preserve">NOVDIGSCR-2605</t>
  </si>
  <si>
    <t xml:space="preserve">Media Page CR CRM changes</t>
  </si>
  <si>
    <t xml:space="preserve">Nihal</t>
  </si>
  <si>
    <t xml:space="preserve">NOVDIGSCR-2628 </t>
  </si>
  <si>
    <t xml:space="preserve">Assist journey for motor legal aid</t>
  </si>
  <si>
    <t xml:space="preserve">NOVDIGSCR-2581</t>
  </si>
  <si>
    <t xml:space="preserve">EV - Proposed Exclusion and Imposed deductible</t>
  </si>
  <si>
    <t xml:space="preserve">NOVDIGSCR-2641 </t>
  </si>
  <si>
    <t xml:space="preserve">Latest Site audit recommendations</t>
  </si>
  <si>
    <t xml:space="preserve">NOVDIGSCR-2653 </t>
  </si>
  <si>
    <t xml:space="preserve">Informative Landing Pages - Motor </t>
  </si>
  <si>
    <t xml:space="preserve">Total Hrs</t>
  </si>
  <si>
    <t xml:space="preserve">Percentage</t>
  </si>
  <si>
    <t xml:space="preserve">BalajiKannan</t>
  </si>
  <si>
    <t xml:space="preserve">Muthulakshmi</t>
  </si>
  <si>
    <t xml:space="preserve">Thufail</t>
  </si>
  <si>
    <t xml:space="preserve">Mydeen Ijas</t>
  </si>
  <si>
    <t xml:space="preserve">Kapil</t>
  </si>
  <si>
    <t xml:space="preserve">Saravana muthu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</si>
</sst>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\ mmm\ yy"/>
    <numFmt numFmtId="167" formatCode="0.0"/>
    <numFmt numFmtId="168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A6A6A6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9"/>
      <color rgb="FFA6A6A6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A5A5A5"/>
        <bgColor rgb="FFA6A6A6"/>
      </patternFill>
    </fill>
    <fill>
      <patternFill patternType="solid">
        <fgColor rgb="FF5B9BD5"/>
        <bgColor rgb="FF4472C4"/>
      </patternFill>
    </fill>
    <fill>
      <patternFill patternType="solid">
        <fgColor rgb="FFBDD7EE"/>
        <bgColor rgb="FF9DC3E6"/>
      </patternFill>
    </fill>
    <fill>
      <patternFill patternType="solid">
        <fgColor rgb="FF9DC3E6"/>
        <bgColor rgb="FFBFBFBF"/>
      </patternFill>
    </fill>
    <fill>
      <patternFill patternType="solid">
        <fgColor rgb="FFBFBFBF"/>
        <bgColor rgb="FF9DC3E6"/>
      </patternFill>
    </fill>
    <fill>
      <patternFill patternType="solid">
        <fgColor rgb="FF2E75B6"/>
        <bgColor rgb="FF4472C4"/>
      </patternFill>
    </fill>
    <fill>
      <patternFill patternType="solid">
        <fgColor rgb="FFA6A6A6"/>
        <bgColor rgb="FFA5A5A5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/>
      <bottom/>
      <diagonal/>
    </border>
    <border diagonalUp="false" diagonalDown="false">
      <left style="double">
        <color rgb="FF3F3F3F"/>
      </left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double">
        <color rgb="FF3F3F3F"/>
      </right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1" applyFont="true" applyBorder="tru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2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5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7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0" xfId="2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0" xfId="28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8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9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12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5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9" xfId="2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26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  <cellStyle name="Excel Built-in Accent5" xfId="26"/>
    <cellStyle name="Excel Built-in Check Cell" xfId="27"/>
    <cellStyle name="Excel Built-in Accent1" xfId="28"/>
  </cellStyles>
  <dxfs count="4">
    <dxf>
      <fill>
        <patternFill patternType="solid">
          <fgColor rgb="FF4472C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E3436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FFFFCC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7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97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97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201600</xdr:colOff>
      <xdr:row>0</xdr:row>
      <xdr:rowOff>22320</xdr:rowOff>
    </xdr:from>
    <xdr:to>
      <xdr:col>0</xdr:col>
      <xdr:colOff>1434600</xdr:colOff>
      <xdr:row>1</xdr:row>
      <xdr:rowOff>111960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01600" y="22320"/>
          <a:ext cx="1233000" cy="28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201600</xdr:colOff>
      <xdr:row>0</xdr:row>
      <xdr:rowOff>22320</xdr:rowOff>
    </xdr:from>
    <xdr:to>
      <xdr:col>0</xdr:col>
      <xdr:colOff>1434600</xdr:colOff>
      <xdr:row>1</xdr:row>
      <xdr:rowOff>111960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201600" y="22320"/>
          <a:ext cx="1233000" cy="28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201600</xdr:colOff>
      <xdr:row>0</xdr:row>
      <xdr:rowOff>22320</xdr:rowOff>
    </xdr:from>
    <xdr:to>
      <xdr:col>1</xdr:col>
      <xdr:colOff>1589040</xdr:colOff>
      <xdr:row>1</xdr:row>
      <xdr:rowOff>117720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201600" y="22320"/>
          <a:ext cx="1762560" cy="26676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G13:R49" sheet="Sprint25-Task Estimation"/>
  </cacheSource>
  <cacheFields count="12">
    <cacheField name="Hours" numFmtId="0">
      <sharedItems containsString="0" containsBlank="1" containsNumber="1" containsInteger="1" minValue="1" maxValue="22" count="10">
        <n v="1"/>
        <n v="2"/>
        <n v="3"/>
        <n v="4"/>
        <n v="6"/>
        <n v="8"/>
        <n v="10"/>
        <n v="11"/>
        <n v="22"/>
        <m/>
      </sharedItems>
    </cacheField>
    <cacheField name="Resource" numFmtId="0">
      <sharedItems containsBlank="1" count="6">
        <s v="Balaji k"/>
        <s v="Ijas"/>
        <s v="Muthu"/>
        <s v="Pradeep"/>
        <s v="Ravi"/>
        <m/>
      </sharedItems>
    </cacheField>
    <cacheField name="Story Point" numFmtId="0">
      <sharedItems containsString="0" containsBlank="1" count="1">
        <m/>
      </sharedItems>
    </cacheField>
    <cacheField name="Column J" numFmtId="0">
      <sharedItems containsString="0" containsBlank="1" count="1">
        <m/>
      </sharedItems>
    </cacheField>
    <cacheField name="Column K" numFmtId="0">
      <sharedItems containsString="0" containsBlank="1" count="1">
        <m/>
      </sharedItems>
    </cacheField>
    <cacheField name="Column L" numFmtId="0">
      <sharedItems containsString="0" containsBlank="1" count="1">
        <m/>
      </sharedItems>
    </cacheField>
    <cacheField name="Column M" numFmtId="0">
      <sharedItems containsString="0" containsBlank="1" count="1">
        <m/>
      </sharedItems>
    </cacheField>
    <cacheField name="Column N" numFmtId="0">
      <sharedItems containsString="0" containsBlank="1" count="1">
        <m/>
      </sharedItems>
    </cacheField>
    <cacheField name="Column O" numFmtId="0">
      <sharedItems containsString="0" containsBlank="1" count="1">
        <m/>
      </sharedItems>
    </cacheField>
    <cacheField name="Column P" numFmtId="0">
      <sharedItems containsString="0" containsBlank="1" containsNumber="1" containsInteger="1" minValue="320" maxValue="320" count="2">
        <n v="320"/>
        <m/>
      </sharedItems>
    </cacheField>
    <cacheField name="Column Q" numFmtId="0">
      <sharedItems containsString="0" containsBlank="1" count="1">
        <m/>
      </sharedItems>
    </cacheField>
    <cacheField name="Resource2" numFmtId="0">
      <sharedItems containsBlank="1" count="10">
        <s v="Manikandan"/>
        <s v="MuthulakshmiA"/>
        <s v="Nihal"/>
        <s v="Pradeep"/>
        <s v="Raviraj"/>
        <s v="Saravana Muthu T"/>
        <s v="Saravanan P"/>
        <s v="Sivachandran"/>
        <s v="Sivasankaran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2"/>
    <x v="1"/>
    <x v="0"/>
    <x v="0"/>
    <x v="0"/>
    <x v="0"/>
    <x v="0"/>
    <x v="0"/>
    <x v="0"/>
    <x v="0"/>
    <x v="0"/>
    <x v="0"/>
  </r>
  <r>
    <x v="0"/>
    <x v="2"/>
    <x v="0"/>
    <x v="0"/>
    <x v="0"/>
    <x v="0"/>
    <x v="0"/>
    <x v="0"/>
    <x v="0"/>
    <x v="1"/>
    <x v="0"/>
    <x v="1"/>
  </r>
  <r>
    <x v="3"/>
    <x v="1"/>
    <x v="0"/>
    <x v="0"/>
    <x v="0"/>
    <x v="0"/>
    <x v="0"/>
    <x v="0"/>
    <x v="0"/>
    <x v="1"/>
    <x v="0"/>
    <x v="9"/>
  </r>
  <r>
    <x v="9"/>
    <x v="5"/>
    <x v="0"/>
    <x v="0"/>
    <x v="0"/>
    <x v="0"/>
    <x v="0"/>
    <x v="0"/>
    <x v="0"/>
    <x v="1"/>
    <x v="0"/>
    <x v="9"/>
  </r>
  <r>
    <x v="6"/>
    <x v="1"/>
    <x v="0"/>
    <x v="0"/>
    <x v="0"/>
    <x v="0"/>
    <x v="0"/>
    <x v="0"/>
    <x v="0"/>
    <x v="1"/>
    <x v="0"/>
    <x v="8"/>
  </r>
  <r>
    <x v="1"/>
    <x v="2"/>
    <x v="0"/>
    <x v="0"/>
    <x v="0"/>
    <x v="0"/>
    <x v="0"/>
    <x v="0"/>
    <x v="0"/>
    <x v="1"/>
    <x v="0"/>
    <x v="6"/>
  </r>
  <r>
    <x v="1"/>
    <x v="1"/>
    <x v="0"/>
    <x v="0"/>
    <x v="0"/>
    <x v="0"/>
    <x v="0"/>
    <x v="0"/>
    <x v="0"/>
    <x v="1"/>
    <x v="0"/>
    <x v="3"/>
  </r>
  <r>
    <x v="0"/>
    <x v="2"/>
    <x v="0"/>
    <x v="0"/>
    <x v="0"/>
    <x v="0"/>
    <x v="0"/>
    <x v="0"/>
    <x v="0"/>
    <x v="1"/>
    <x v="0"/>
    <x v="6"/>
  </r>
  <r>
    <x v="2"/>
    <x v="1"/>
    <x v="0"/>
    <x v="0"/>
    <x v="0"/>
    <x v="0"/>
    <x v="0"/>
    <x v="0"/>
    <x v="0"/>
    <x v="1"/>
    <x v="0"/>
    <x v="3"/>
  </r>
  <r>
    <x v="4"/>
    <x v="4"/>
    <x v="0"/>
    <x v="0"/>
    <x v="0"/>
    <x v="0"/>
    <x v="0"/>
    <x v="0"/>
    <x v="0"/>
    <x v="1"/>
    <x v="0"/>
    <x v="3"/>
  </r>
  <r>
    <x v="1"/>
    <x v="2"/>
    <x v="0"/>
    <x v="0"/>
    <x v="0"/>
    <x v="0"/>
    <x v="0"/>
    <x v="0"/>
    <x v="0"/>
    <x v="1"/>
    <x v="0"/>
    <x v="5"/>
  </r>
  <r>
    <x v="4"/>
    <x v="4"/>
    <x v="0"/>
    <x v="0"/>
    <x v="0"/>
    <x v="0"/>
    <x v="0"/>
    <x v="0"/>
    <x v="0"/>
    <x v="1"/>
    <x v="0"/>
    <x v="3"/>
  </r>
  <r>
    <x v="2"/>
    <x v="1"/>
    <x v="0"/>
    <x v="0"/>
    <x v="0"/>
    <x v="0"/>
    <x v="0"/>
    <x v="0"/>
    <x v="0"/>
    <x v="1"/>
    <x v="0"/>
    <x v="0"/>
  </r>
  <r>
    <x v="0"/>
    <x v="2"/>
    <x v="0"/>
    <x v="0"/>
    <x v="0"/>
    <x v="0"/>
    <x v="0"/>
    <x v="0"/>
    <x v="0"/>
    <x v="1"/>
    <x v="0"/>
    <x v="1"/>
  </r>
  <r>
    <x v="3"/>
    <x v="1"/>
    <x v="0"/>
    <x v="0"/>
    <x v="0"/>
    <x v="0"/>
    <x v="0"/>
    <x v="0"/>
    <x v="0"/>
    <x v="1"/>
    <x v="0"/>
    <x v="9"/>
  </r>
  <r>
    <x v="9"/>
    <x v="5"/>
    <x v="0"/>
    <x v="0"/>
    <x v="0"/>
    <x v="0"/>
    <x v="0"/>
    <x v="0"/>
    <x v="0"/>
    <x v="1"/>
    <x v="0"/>
    <x v="9"/>
  </r>
  <r>
    <x v="6"/>
    <x v="1"/>
    <x v="0"/>
    <x v="0"/>
    <x v="0"/>
    <x v="0"/>
    <x v="0"/>
    <x v="0"/>
    <x v="0"/>
    <x v="1"/>
    <x v="0"/>
    <x v="7"/>
  </r>
  <r>
    <x v="1"/>
    <x v="2"/>
    <x v="0"/>
    <x v="0"/>
    <x v="0"/>
    <x v="0"/>
    <x v="0"/>
    <x v="0"/>
    <x v="0"/>
    <x v="1"/>
    <x v="0"/>
    <x v="6"/>
  </r>
  <r>
    <x v="1"/>
    <x v="1"/>
    <x v="0"/>
    <x v="0"/>
    <x v="0"/>
    <x v="0"/>
    <x v="0"/>
    <x v="0"/>
    <x v="0"/>
    <x v="1"/>
    <x v="0"/>
    <x v="3"/>
  </r>
  <r>
    <x v="0"/>
    <x v="2"/>
    <x v="0"/>
    <x v="0"/>
    <x v="0"/>
    <x v="0"/>
    <x v="0"/>
    <x v="0"/>
    <x v="0"/>
    <x v="1"/>
    <x v="0"/>
    <x v="1"/>
  </r>
  <r>
    <x v="2"/>
    <x v="1"/>
    <x v="0"/>
    <x v="0"/>
    <x v="0"/>
    <x v="0"/>
    <x v="0"/>
    <x v="0"/>
    <x v="0"/>
    <x v="1"/>
    <x v="0"/>
    <x v="3"/>
  </r>
  <r>
    <x v="4"/>
    <x v="3"/>
    <x v="0"/>
    <x v="0"/>
    <x v="0"/>
    <x v="0"/>
    <x v="0"/>
    <x v="0"/>
    <x v="0"/>
    <x v="1"/>
    <x v="0"/>
    <x v="3"/>
  </r>
  <r>
    <x v="1"/>
    <x v="2"/>
    <x v="0"/>
    <x v="0"/>
    <x v="0"/>
    <x v="0"/>
    <x v="0"/>
    <x v="0"/>
    <x v="0"/>
    <x v="1"/>
    <x v="0"/>
    <x v="5"/>
  </r>
  <r>
    <x v="4"/>
    <x v="3"/>
    <x v="0"/>
    <x v="0"/>
    <x v="0"/>
    <x v="0"/>
    <x v="0"/>
    <x v="0"/>
    <x v="0"/>
    <x v="1"/>
    <x v="0"/>
    <x v="3"/>
  </r>
  <r>
    <x v="3"/>
    <x v="0"/>
    <x v="0"/>
    <x v="0"/>
    <x v="0"/>
    <x v="0"/>
    <x v="0"/>
    <x v="0"/>
    <x v="0"/>
    <x v="1"/>
    <x v="0"/>
    <x v="0"/>
  </r>
  <r>
    <x v="1"/>
    <x v="2"/>
    <x v="0"/>
    <x v="0"/>
    <x v="0"/>
    <x v="0"/>
    <x v="0"/>
    <x v="0"/>
    <x v="0"/>
    <x v="1"/>
    <x v="0"/>
    <x v="1"/>
  </r>
  <r>
    <x v="9"/>
    <x v="5"/>
    <x v="0"/>
    <x v="0"/>
    <x v="0"/>
    <x v="0"/>
    <x v="0"/>
    <x v="0"/>
    <x v="0"/>
    <x v="1"/>
    <x v="0"/>
    <x v="9"/>
  </r>
  <r>
    <x v="9"/>
    <x v="5"/>
    <x v="0"/>
    <x v="0"/>
    <x v="0"/>
    <x v="0"/>
    <x v="0"/>
    <x v="0"/>
    <x v="0"/>
    <x v="1"/>
    <x v="0"/>
    <x v="9"/>
  </r>
  <r>
    <x v="8"/>
    <x v="0"/>
    <x v="0"/>
    <x v="0"/>
    <x v="0"/>
    <x v="0"/>
    <x v="0"/>
    <x v="0"/>
    <x v="0"/>
    <x v="1"/>
    <x v="0"/>
    <x v="2"/>
  </r>
  <r>
    <x v="1"/>
    <x v="2"/>
    <x v="0"/>
    <x v="0"/>
    <x v="0"/>
    <x v="0"/>
    <x v="0"/>
    <x v="0"/>
    <x v="0"/>
    <x v="1"/>
    <x v="0"/>
    <x v="6"/>
  </r>
  <r>
    <x v="3"/>
    <x v="0"/>
    <x v="0"/>
    <x v="0"/>
    <x v="0"/>
    <x v="0"/>
    <x v="0"/>
    <x v="0"/>
    <x v="0"/>
    <x v="1"/>
    <x v="0"/>
    <x v="4"/>
  </r>
  <r>
    <x v="1"/>
    <x v="2"/>
    <x v="0"/>
    <x v="0"/>
    <x v="0"/>
    <x v="0"/>
    <x v="0"/>
    <x v="0"/>
    <x v="0"/>
    <x v="1"/>
    <x v="0"/>
    <x v="6"/>
  </r>
  <r>
    <x v="2"/>
    <x v="0"/>
    <x v="0"/>
    <x v="0"/>
    <x v="0"/>
    <x v="0"/>
    <x v="0"/>
    <x v="0"/>
    <x v="0"/>
    <x v="1"/>
    <x v="0"/>
    <x v="4"/>
  </r>
  <r>
    <x v="5"/>
    <x v="3"/>
    <x v="0"/>
    <x v="0"/>
    <x v="0"/>
    <x v="0"/>
    <x v="0"/>
    <x v="0"/>
    <x v="0"/>
    <x v="1"/>
    <x v="0"/>
    <x v="4"/>
  </r>
  <r>
    <x v="1"/>
    <x v="2"/>
    <x v="0"/>
    <x v="0"/>
    <x v="0"/>
    <x v="0"/>
    <x v="0"/>
    <x v="0"/>
    <x v="0"/>
    <x v="1"/>
    <x v="0"/>
    <x v="5"/>
  </r>
  <r>
    <x v="7"/>
    <x v="3"/>
    <x v="0"/>
    <x v="0"/>
    <x v="0"/>
    <x v="0"/>
    <x v="0"/>
    <x v="0"/>
    <x v="0"/>
    <x v="1"/>
    <x v="0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5" firstHeaderRow="1" firstDataRow="1" firstDataCol="1"/>
  <pivotFields count="12">
    <pivotField dataField="1"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Sum of Hours" fld="0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0" activeCellId="0" sqref="D20"/>
    </sheetView>
  </sheetViews>
  <sheetFormatPr defaultColWidth="25.1875" defaultRowHeight="14.25" zeroHeight="false" outlineLevelRow="0" outlineLevelCol="0"/>
  <cols>
    <col collapsed="false" customWidth="true" hidden="false" outlineLevel="0" max="1" min="1" style="0" width="25.55"/>
    <col collapsed="false" customWidth="true" hidden="false" outlineLevel="0" max="2" min="2" style="0" width="24"/>
    <col collapsed="false" customWidth="true" hidden="false" outlineLevel="0" max="3" min="3" style="0" width="14.44"/>
    <col collapsed="false" customWidth="true" hidden="false" outlineLevel="0" max="5" min="5" style="0" width="24.55"/>
    <col collapsed="false" customWidth="true" hidden="false" outlineLevel="0" max="6" min="6" style="0" width="22.44"/>
  </cols>
  <sheetData>
    <row r="1" s="3" customFormat="true" ht="1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</row>
    <row r="2" s="3" customFormat="true" ht="13.5" hidden="false" customHeight="false" outlineLevel="0" collapsed="false">
      <c r="A2" s="1"/>
      <c r="B2" s="1"/>
      <c r="C2" s="1"/>
      <c r="D2" s="1"/>
      <c r="E2" s="1"/>
      <c r="F2" s="1"/>
      <c r="G2" s="2"/>
      <c r="H2" s="4"/>
      <c r="I2" s="2"/>
    </row>
    <row r="3" s="3" customFormat="true" ht="13.5" hidden="false" customHeight="false" outlineLevel="0" collapsed="false">
      <c r="B3" s="2"/>
      <c r="C3" s="2"/>
      <c r="D3" s="2"/>
      <c r="E3" s="2"/>
      <c r="F3" s="2"/>
      <c r="G3" s="2"/>
      <c r="H3" s="4"/>
      <c r="I3" s="2"/>
    </row>
    <row r="4" customFormat="false" ht="14.25" hidden="false" customHeight="false" outlineLevel="0" collapsed="false">
      <c r="A4" s="5" t="s">
        <v>1</v>
      </c>
      <c r="B4" s="5" t="s">
        <v>2</v>
      </c>
      <c r="C4" s="6"/>
      <c r="D4" s="6"/>
      <c r="E4" s="6"/>
      <c r="F4" s="6"/>
    </row>
    <row r="5" customFormat="false" ht="15" hidden="false" customHeight="false" outlineLevel="0" collapsed="false">
      <c r="A5" s="7" t="s">
        <v>3</v>
      </c>
      <c r="B5" s="8" t="n">
        <v>10</v>
      </c>
      <c r="C5" s="7" t="s">
        <v>4</v>
      </c>
      <c r="D5" s="9" t="n">
        <v>45292</v>
      </c>
      <c r="E5" s="7" t="s">
        <v>5</v>
      </c>
      <c r="F5" s="9" t="n">
        <v>45306</v>
      </c>
    </row>
    <row r="7" customFormat="false" ht="14.25" hidden="false" customHeight="false" outlineLevel="0" collapsed="false">
      <c r="A7" s="10" t="s">
        <v>6</v>
      </c>
      <c r="B7" s="10"/>
      <c r="C7" s="10"/>
      <c r="D7" s="10"/>
      <c r="E7" s="10"/>
    </row>
    <row r="8" customFormat="false" ht="14.25" hidden="false" customHeight="false" outlineLevel="0" collapsed="false">
      <c r="A8" s="11" t="s">
        <v>7</v>
      </c>
      <c r="B8" s="12" t="s">
        <v>8</v>
      </c>
      <c r="C8" s="13" t="s">
        <v>9</v>
      </c>
      <c r="D8" s="13" t="s">
        <v>10</v>
      </c>
      <c r="E8" s="14" t="s">
        <v>11</v>
      </c>
      <c r="G8" s="15"/>
    </row>
    <row r="9" customFormat="false" ht="14.25" hidden="false" customHeight="false" outlineLevel="0" collapsed="false">
      <c r="A9" s="16" t="s">
        <v>12</v>
      </c>
      <c r="B9" s="17" t="n">
        <v>80</v>
      </c>
      <c r="C9" s="16" t="n">
        <v>40</v>
      </c>
      <c r="D9" s="16"/>
      <c r="E9" s="17" t="n">
        <f aca="false">(B9*C9/100)-D9</f>
        <v>32</v>
      </c>
      <c r="F9" s="15"/>
      <c r="G9" s="15"/>
    </row>
    <row r="10" customFormat="false" ht="14.25" hidden="false" customHeight="false" outlineLevel="0" collapsed="false">
      <c r="A10" s="16" t="s">
        <v>13</v>
      </c>
      <c r="B10" s="17" t="n">
        <v>80</v>
      </c>
      <c r="C10" s="16" t="n">
        <v>55</v>
      </c>
      <c r="D10" s="16"/>
      <c r="E10" s="17" t="n">
        <f aca="false">(B10*C10/100)-D10</f>
        <v>44</v>
      </c>
    </row>
    <row r="11" customFormat="false" ht="14.25" hidden="false" customHeight="false" outlineLevel="0" collapsed="false">
      <c r="A11" s="16" t="s">
        <v>14</v>
      </c>
      <c r="B11" s="17" t="n">
        <v>80</v>
      </c>
      <c r="C11" s="16" t="n">
        <v>60</v>
      </c>
      <c r="D11" s="16"/>
      <c r="E11" s="17" t="n">
        <f aca="false">(B11*C11/100)-D11</f>
        <v>48</v>
      </c>
    </row>
    <row r="12" customFormat="false" ht="14.25" hidden="false" customHeight="false" outlineLevel="0" collapsed="false">
      <c r="A12" s="18" t="s">
        <v>15</v>
      </c>
      <c r="B12" s="17" t="n">
        <v>80</v>
      </c>
      <c r="C12" s="16" t="n">
        <v>80</v>
      </c>
      <c r="D12" s="16"/>
      <c r="E12" s="17" t="n">
        <f aca="false">(B12*C12/100)-D12</f>
        <v>64</v>
      </c>
    </row>
    <row r="13" customFormat="false" ht="14.25" hidden="false" customHeight="false" outlineLevel="0" collapsed="false">
      <c r="A13" s="16"/>
      <c r="B13" s="17"/>
      <c r="C13" s="16"/>
      <c r="D13" s="16"/>
      <c r="E13" s="17"/>
    </row>
    <row r="14" customFormat="false" ht="14.25" hidden="false" customHeight="false" outlineLevel="0" collapsed="false">
      <c r="A14" s="16" t="s">
        <v>16</v>
      </c>
      <c r="B14" s="17" t="n">
        <v>80</v>
      </c>
      <c r="C14" s="16" t="n">
        <v>65</v>
      </c>
      <c r="D14" s="16"/>
      <c r="E14" s="17" t="n">
        <f aca="false">(B14*C14/100)-D14</f>
        <v>52</v>
      </c>
    </row>
    <row r="15" customFormat="false" ht="14.25" hidden="false" customHeight="false" outlineLevel="0" collapsed="false">
      <c r="A15" s="16" t="s">
        <v>17</v>
      </c>
      <c r="B15" s="17" t="n">
        <v>80</v>
      </c>
      <c r="C15" s="16" t="n">
        <v>50</v>
      </c>
      <c r="D15" s="16"/>
      <c r="E15" s="17" t="n">
        <f aca="false">(B15*C15/100)-D15</f>
        <v>40</v>
      </c>
    </row>
    <row r="16" customFormat="false" ht="14.25" hidden="false" customHeight="false" outlineLevel="0" collapsed="false">
      <c r="A16" s="19" t="s">
        <v>18</v>
      </c>
      <c r="B16" s="20"/>
      <c r="C16" s="21"/>
      <c r="D16" s="22" t="n">
        <f aca="false">SUM(D9:D13)</f>
        <v>0</v>
      </c>
      <c r="E16" s="23" t="n">
        <f aca="false">SUM(E9:E15)</f>
        <v>280</v>
      </c>
    </row>
    <row r="17" customFormat="false" ht="14.25" hidden="false" customHeight="false" outlineLevel="0" collapsed="false">
      <c r="A17" s="24"/>
      <c r="B17" s="24"/>
      <c r="C17" s="25"/>
      <c r="D17" s="25"/>
      <c r="E17" s="26"/>
      <c r="F17" s="26"/>
    </row>
    <row r="18" customFormat="false" ht="14.25" hidden="false" customHeight="false" outlineLevel="0" collapsed="false">
      <c r="A18" s="5" t="s">
        <v>19</v>
      </c>
      <c r="B18" s="5"/>
      <c r="C18" s="5"/>
      <c r="D18" s="5"/>
    </row>
    <row r="19" customFormat="false" ht="14.25" hidden="false" customHeight="false" outlineLevel="0" collapsed="false">
      <c r="A19" s="27" t="s">
        <v>20</v>
      </c>
      <c r="B19" s="27" t="s">
        <v>21</v>
      </c>
      <c r="C19" s="28" t="s">
        <v>22</v>
      </c>
      <c r="D19" s="28" t="s">
        <v>23</v>
      </c>
    </row>
    <row r="20" customFormat="false" ht="14.25" hidden="false" customHeight="false" outlineLevel="0" collapsed="false">
      <c r="A20" s="17" t="n">
        <v>277.8</v>
      </c>
      <c r="B20" s="29" t="n">
        <f aca="false">A20/E16*100</f>
        <v>99.2142857142857</v>
      </c>
      <c r="C20" s="16" t="n">
        <v>24</v>
      </c>
      <c r="D20" s="16" t="n">
        <v>6</v>
      </c>
    </row>
  </sheetData>
  <mergeCells count="3">
    <mergeCell ref="A1:F2"/>
    <mergeCell ref="A7:E7"/>
    <mergeCell ref="A18:D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C33" activeCellId="0" sqref="C33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22.89"/>
    <col collapsed="false" customWidth="true" hidden="false" outlineLevel="0" max="2" min="2" style="0" width="21.55"/>
    <col collapsed="false" customWidth="true" hidden="false" outlineLevel="0" max="3" min="3" style="0" width="14.11"/>
    <col collapsed="false" customWidth="true" hidden="false" outlineLevel="0" max="4" min="4" style="0" width="17"/>
    <col collapsed="false" customWidth="true" hidden="false" outlineLevel="0" max="5" min="5" style="0" width="16.55"/>
    <col collapsed="false" customWidth="true" hidden="false" outlineLevel="0" max="8" min="6" style="0" width="12.11"/>
    <col collapsed="false" customWidth="true" hidden="false" outlineLevel="0" max="9" min="9" style="0" width="13.22"/>
    <col collapsed="false" customWidth="true" hidden="false" outlineLevel="0" max="10" min="10" style="0" width="15.89"/>
    <col collapsed="false" customWidth="true" hidden="false" outlineLevel="0" max="1024" min="1024" style="0" width="9.11"/>
  </cols>
  <sheetData>
    <row r="1" s="3" customFormat="true" ht="1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="3" customFormat="tru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s="3" customFormat="true" ht="14.25" hidden="false" customHeight="false" outlineLevel="0" collapsed="false">
      <c r="A3" s="30"/>
      <c r="B3" s="30"/>
      <c r="C3" s="30"/>
      <c r="D3" s="30"/>
      <c r="E3" s="30"/>
      <c r="F3" s="30"/>
      <c r="G3" s="30"/>
      <c r="H3" s="2"/>
    </row>
    <row r="4" customFormat="false" ht="14.25" hidden="false" customHeight="false" outlineLevel="0" collapsed="false">
      <c r="A4" s="31" t="s">
        <v>24</v>
      </c>
      <c r="B4" s="31"/>
      <c r="C4" s="31"/>
      <c r="D4" s="31"/>
      <c r="E4" s="31"/>
      <c r="F4" s="31"/>
      <c r="G4" s="31"/>
      <c r="H4" s="31"/>
      <c r="I4" s="31"/>
    </row>
    <row r="5" customFormat="false" ht="14.25" hidden="false" customHeight="false" outlineLevel="0" collapsed="false">
      <c r="A5" s="13" t="s">
        <v>25</v>
      </c>
      <c r="B5" s="32" t="s">
        <v>12</v>
      </c>
      <c r="C5" s="11" t="s">
        <v>13</v>
      </c>
      <c r="D5" s="11" t="s">
        <v>26</v>
      </c>
      <c r="E5" s="11" t="s">
        <v>27</v>
      </c>
      <c r="F5" s="11" t="s">
        <v>16</v>
      </c>
      <c r="G5" s="11" t="s">
        <v>28</v>
      </c>
      <c r="H5" s="33" t="s">
        <v>29</v>
      </c>
      <c r="I5" s="33" t="s">
        <v>30</v>
      </c>
    </row>
    <row r="6" customFormat="false" ht="13.8" hidden="false" customHeight="false" outlineLevel="0" collapsed="false">
      <c r="A6" s="16" t="s">
        <v>31</v>
      </c>
      <c r="B6" s="16"/>
      <c r="C6" s="16"/>
      <c r="D6" s="16"/>
      <c r="E6" s="16"/>
      <c r="F6" s="16"/>
      <c r="G6" s="16"/>
      <c r="H6" s="16" t="n">
        <v>3</v>
      </c>
      <c r="I6" s="16" t="n">
        <v>20</v>
      </c>
    </row>
    <row r="7" customFormat="false" ht="13.8" hidden="false" customHeight="false" outlineLevel="0" collapsed="false">
      <c r="A7" s="16" t="s">
        <v>32</v>
      </c>
      <c r="B7" s="16"/>
      <c r="C7" s="16"/>
      <c r="D7" s="16"/>
      <c r="E7" s="16"/>
      <c r="F7" s="16"/>
      <c r="G7" s="16"/>
      <c r="H7" s="16" t="n">
        <v>3</v>
      </c>
      <c r="I7" s="16" t="n">
        <v>20</v>
      </c>
    </row>
    <row r="8" customFormat="false" ht="13.8" hidden="false" customHeight="false" outlineLevel="0" collapsed="false">
      <c r="A8" s="16" t="s">
        <v>33</v>
      </c>
      <c r="B8" s="16"/>
      <c r="C8" s="16"/>
      <c r="D8" s="16"/>
      <c r="E8" s="16"/>
      <c r="F8" s="16"/>
      <c r="G8" s="16"/>
      <c r="H8" s="16" t="n">
        <v>8</v>
      </c>
      <c r="I8" s="16" t="n">
        <v>80</v>
      </c>
    </row>
    <row r="9" customFormat="false" ht="13.8" hidden="false" customHeight="false" outlineLevel="0" collapsed="false">
      <c r="A9" s="16" t="s">
        <v>34</v>
      </c>
      <c r="B9" s="16"/>
      <c r="C9" s="16"/>
      <c r="D9" s="16"/>
      <c r="E9" s="16"/>
      <c r="F9" s="16"/>
      <c r="G9" s="16"/>
      <c r="H9" s="16" t="n">
        <v>5</v>
      </c>
      <c r="I9" s="16" t="n">
        <v>40</v>
      </c>
    </row>
    <row r="10" customFormat="false" ht="13.8" hidden="false" customHeight="false" outlineLevel="0" collapsed="false">
      <c r="A10" s="16" t="s">
        <v>35</v>
      </c>
      <c r="B10" s="16"/>
      <c r="C10" s="16"/>
      <c r="D10" s="16"/>
      <c r="E10" s="16"/>
      <c r="F10" s="16"/>
      <c r="G10" s="16"/>
      <c r="H10" s="16" t="n">
        <v>8</v>
      </c>
      <c r="I10" s="16" t="n">
        <v>80</v>
      </c>
    </row>
    <row r="11" customFormat="false" ht="13.8" hidden="false" customHeight="false" outlineLevel="0" collapsed="false">
      <c r="A11" s="16" t="s">
        <v>36</v>
      </c>
      <c r="B11" s="16"/>
      <c r="C11" s="16"/>
      <c r="D11" s="16"/>
      <c r="E11" s="16"/>
      <c r="F11" s="16"/>
      <c r="G11" s="16"/>
      <c r="H11" s="16" t="n">
        <v>5</v>
      </c>
      <c r="I11" s="16" t="n">
        <v>40</v>
      </c>
    </row>
    <row r="12" customFormat="false" ht="14.2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</row>
    <row r="13" customFormat="false" ht="14.25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6"/>
    </row>
    <row r="14" customFormat="false" ht="14.25" hidden="false" customHeight="false" outlineLevel="0" collapsed="false">
      <c r="A14" s="34"/>
      <c r="B14" s="34"/>
      <c r="C14" s="34"/>
      <c r="D14" s="34"/>
      <c r="E14" s="34"/>
      <c r="F14" s="34"/>
      <c r="G14" s="34"/>
      <c r="H14" s="34"/>
      <c r="I14" s="34"/>
    </row>
    <row r="15" customFormat="false" ht="14.25" hidden="false" customHeight="false" outlineLevel="0" collapsed="false">
      <c r="A15" s="19" t="s">
        <v>37</v>
      </c>
      <c r="B15" s="19"/>
      <c r="C15" s="19"/>
      <c r="D15" s="19"/>
      <c r="E15" s="19"/>
      <c r="F15" s="19"/>
      <c r="G15" s="19"/>
      <c r="H15" s="35" t="n">
        <f aca="false">SUM(H6:H14)</f>
        <v>32</v>
      </c>
      <c r="I15" s="35" t="n">
        <f aca="false">SUM(I6:I14)</f>
        <v>280</v>
      </c>
    </row>
    <row r="18" customFormat="false" ht="14.25" hidden="false" customHeight="false" outlineLevel="0" collapsed="false">
      <c r="A18" s="19" t="s">
        <v>38</v>
      </c>
      <c r="B18" s="19"/>
    </row>
    <row r="19" customFormat="false" ht="14.25" hidden="false" customHeight="false" outlineLevel="0" collapsed="false">
      <c r="A19" s="36" t="s">
        <v>39</v>
      </c>
      <c r="B19" s="16" t="s">
        <v>40</v>
      </c>
    </row>
    <row r="20" customFormat="false" ht="14.25" hidden="false" customHeight="false" outlineLevel="0" collapsed="false">
      <c r="A20" s="37" t="s">
        <v>29</v>
      </c>
      <c r="B20" s="16" t="s">
        <v>41</v>
      </c>
    </row>
    <row r="22" customFormat="false" ht="14.25" hidden="false" customHeight="false" outlineLevel="0" collapsed="false">
      <c r="A22" s="36" t="s">
        <v>42</v>
      </c>
      <c r="B22" s="36" t="s">
        <v>43</v>
      </c>
    </row>
    <row r="23" customFormat="false" ht="14.25" hidden="false" customHeight="false" outlineLevel="0" collapsed="false">
      <c r="A23" s="16" t="n">
        <v>1</v>
      </c>
      <c r="B23" s="16" t="s">
        <v>44</v>
      </c>
    </row>
    <row r="24" customFormat="false" ht="14.25" hidden="false" customHeight="false" outlineLevel="0" collapsed="false">
      <c r="A24" s="16" t="n">
        <v>2</v>
      </c>
      <c r="B24" s="16" t="s">
        <v>45</v>
      </c>
    </row>
    <row r="25" customFormat="false" ht="14.25" hidden="false" customHeight="false" outlineLevel="0" collapsed="false">
      <c r="A25" s="16" t="n">
        <v>3</v>
      </c>
      <c r="B25" s="16" t="s">
        <v>46</v>
      </c>
    </row>
    <row r="26" customFormat="false" ht="14.25" hidden="false" customHeight="false" outlineLevel="0" collapsed="false">
      <c r="A26" s="16" t="n">
        <v>5</v>
      </c>
      <c r="B26" s="16" t="s">
        <v>47</v>
      </c>
    </row>
    <row r="27" customFormat="false" ht="14.25" hidden="false" customHeight="false" outlineLevel="0" collapsed="false">
      <c r="A27" s="16" t="n">
        <v>8</v>
      </c>
      <c r="B27" s="16" t="s">
        <v>48</v>
      </c>
    </row>
  </sheetData>
  <mergeCells count="2">
    <mergeCell ref="A1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12.66"/>
  </cols>
  <sheetData>
    <row r="3" customFormat="false" ht="14.25" hidden="false" customHeight="false" outlineLevel="0" collapsed="false">
      <c r="A3" s="38" t="s">
        <v>49</v>
      </c>
      <c r="B3" s="39" t="s">
        <v>50</v>
      </c>
    </row>
    <row r="4" customFormat="false" ht="14.25" hidden="false" customHeight="false" outlineLevel="0" collapsed="false">
      <c r="A4" s="40" t="s">
        <v>51</v>
      </c>
      <c r="B4" s="41" t="n">
        <v>140</v>
      </c>
    </row>
    <row r="5" customFormat="false" ht="14.25" hidden="false" customHeight="false" outlineLevel="0" collapsed="false">
      <c r="A5" s="42" t="s">
        <v>52</v>
      </c>
      <c r="B5" s="43" t="n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10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9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J73" activeCellId="0" sqref="J73"/>
    </sheetView>
  </sheetViews>
  <sheetFormatPr defaultColWidth="8.55859375" defaultRowHeight="13.8" zeroHeight="false" outlineLevelRow="0" outlineLevelCol="0"/>
  <cols>
    <col collapsed="false" customWidth="true" hidden="false" outlineLevel="0" max="1" min="1" style="26" width="4.22"/>
    <col collapsed="false" customWidth="true" hidden="false" outlineLevel="0" max="2" min="2" style="26" width="17.89"/>
    <col collapsed="false" customWidth="true" hidden="false" outlineLevel="0" max="3" min="3" style="26" width="24.21"/>
    <col collapsed="false" customWidth="true" hidden="false" outlineLevel="0" max="4" min="4" style="44" width="10.44"/>
    <col collapsed="false" customWidth="true" hidden="false" outlineLevel="0" max="5" min="5" style="44" width="12.55"/>
    <col collapsed="false" customWidth="true" hidden="false" outlineLevel="0" max="6" min="6" style="26" width="24.11"/>
    <col collapsed="false" customWidth="true" hidden="false" outlineLevel="0" max="7" min="7" style="45" width="12.33"/>
    <col collapsed="false" customWidth="true" hidden="false" outlineLevel="0" max="8" min="8" style="0" width="16.66"/>
    <col collapsed="false" customWidth="true" hidden="false" outlineLevel="0" max="9" min="9" style="0" width="8"/>
    <col collapsed="false" customWidth="true" hidden="false" outlineLevel="0" max="11" min="11" style="0" width="8"/>
    <col collapsed="false" customWidth="true" hidden="false" outlineLevel="0" max="13" min="13" style="0" width="9.44"/>
    <col collapsed="false" customWidth="true" hidden="false" outlineLevel="0" max="14" min="14" style="0" width="11.55"/>
    <col collapsed="false" customWidth="true" hidden="false" outlineLevel="0" max="16" min="16" style="0" width="11.66"/>
    <col collapsed="false" customWidth="true" hidden="false" outlineLevel="0" max="18" min="18" style="0" width="16.66"/>
    <col collapsed="false" customWidth="true" hidden="false" outlineLevel="0" max="19" min="19" style="0" width="15.89"/>
    <col collapsed="false" customWidth="true" hidden="false" outlineLevel="0" max="41" min="41" style="0" width="15.11"/>
    <col collapsed="false" customWidth="true" hidden="false" outlineLevel="0" max="255" min="255" style="0" width="12.44"/>
    <col collapsed="false" customWidth="true" hidden="false" outlineLevel="0" max="256" min="256" style="0" width="60.56"/>
    <col collapsed="false" customWidth="true" hidden="false" outlineLevel="0" max="257" min="257" style="0" width="17.67"/>
    <col collapsed="false" customWidth="true" hidden="false" outlineLevel="0" max="258" min="258" style="0" width="33.22"/>
    <col collapsed="false" customWidth="true" hidden="false" outlineLevel="0" max="259" min="259" style="0" width="15.89"/>
    <col collapsed="false" customWidth="true" hidden="false" outlineLevel="0" max="511" min="511" style="0" width="12.44"/>
    <col collapsed="false" customWidth="true" hidden="false" outlineLevel="0" max="512" min="512" style="0" width="60.56"/>
    <col collapsed="false" customWidth="true" hidden="false" outlineLevel="0" max="513" min="513" style="0" width="17.67"/>
    <col collapsed="false" customWidth="true" hidden="false" outlineLevel="0" max="514" min="514" style="0" width="33.22"/>
    <col collapsed="false" customWidth="true" hidden="false" outlineLevel="0" max="515" min="515" style="0" width="15.89"/>
    <col collapsed="false" customWidth="true" hidden="false" outlineLevel="0" max="767" min="767" style="0" width="12.44"/>
    <col collapsed="false" customWidth="true" hidden="false" outlineLevel="0" max="768" min="768" style="0" width="60.56"/>
    <col collapsed="false" customWidth="true" hidden="false" outlineLevel="0" max="769" min="769" style="0" width="17.67"/>
    <col collapsed="false" customWidth="true" hidden="false" outlineLevel="0" max="770" min="770" style="0" width="33.22"/>
    <col collapsed="false" customWidth="true" hidden="false" outlineLevel="0" max="771" min="771" style="0" width="15.89"/>
    <col collapsed="false" customWidth="true" hidden="false" outlineLevel="0" max="1023" min="1023" style="0" width="12.44"/>
    <col collapsed="false" customWidth="true" hidden="false" outlineLevel="0" max="1024" min="1024" style="0" width="60.56"/>
  </cols>
  <sheetData>
    <row r="1" s="3" customFormat="true" ht="13.5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46"/>
      <c r="I1" s="46"/>
      <c r="J1" s="46"/>
      <c r="K1" s="46"/>
      <c r="L1" s="3" t="n">
        <v>40</v>
      </c>
      <c r="M1" s="3" t="n">
        <v>10</v>
      </c>
      <c r="N1" s="3" t="n">
        <v>15</v>
      </c>
      <c r="O1" s="3" t="n">
        <v>35</v>
      </c>
      <c r="R1" s="46"/>
    </row>
    <row r="2" s="3" customFormat="true" ht="13.5" hidden="false" customHeight="false" outlineLevel="0" collapsed="false">
      <c r="A2" s="1"/>
      <c r="B2" s="1"/>
      <c r="C2" s="1"/>
      <c r="D2" s="1"/>
      <c r="E2" s="1"/>
      <c r="F2" s="1"/>
      <c r="G2" s="1"/>
      <c r="H2" s="46"/>
      <c r="I2" s="46"/>
      <c r="J2" s="46"/>
      <c r="K2" s="46"/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R2" s="46"/>
    </row>
    <row r="3" s="3" customFormat="true" ht="13.5" hidden="false" customHeight="false" outlineLevel="0" collapsed="false">
      <c r="A3" s="30"/>
      <c r="B3" s="30"/>
      <c r="C3" s="30"/>
      <c r="D3" s="30"/>
      <c r="E3" s="30"/>
      <c r="F3" s="30"/>
      <c r="G3" s="30"/>
      <c r="H3" s="30"/>
      <c r="I3" s="46"/>
      <c r="J3" s="30"/>
      <c r="K3" s="47" t="n">
        <v>1</v>
      </c>
      <c r="L3" s="3" t="n">
        <f aca="false">P3*40%</f>
        <v>16</v>
      </c>
      <c r="M3" s="3" t="n">
        <f aca="false">P3*10%</f>
        <v>4</v>
      </c>
      <c r="N3" s="3" t="n">
        <f aca="false">P3*15%</f>
        <v>6</v>
      </c>
      <c r="O3" s="3" t="n">
        <f aca="false">P3*35%</f>
        <v>14</v>
      </c>
      <c r="P3" s="3" t="n">
        <v>40</v>
      </c>
      <c r="R3" s="46"/>
    </row>
    <row r="4" s="3" customFormat="true" ht="13.5" hidden="false" customHeight="false" outlineLevel="0" collapsed="false">
      <c r="A4" s="30"/>
      <c r="B4" s="30"/>
      <c r="C4" s="30"/>
      <c r="D4" s="30"/>
      <c r="E4" s="30"/>
      <c r="F4" s="30"/>
      <c r="G4" s="30"/>
      <c r="H4" s="30"/>
      <c r="I4" s="46"/>
      <c r="J4" s="30"/>
      <c r="K4" s="47" t="n">
        <v>2</v>
      </c>
      <c r="L4" s="3" t="n">
        <f aca="false">P4*40%</f>
        <v>16</v>
      </c>
      <c r="M4" s="3" t="n">
        <f aca="false">P4*10%</f>
        <v>4</v>
      </c>
      <c r="N4" s="3" t="n">
        <f aca="false">P4*15%</f>
        <v>6</v>
      </c>
      <c r="O4" s="3" t="n">
        <f aca="false">P4*35%</f>
        <v>14</v>
      </c>
      <c r="P4" s="3" t="n">
        <v>40</v>
      </c>
      <c r="R4" s="46"/>
    </row>
    <row r="5" s="3" customFormat="true" ht="13.5" hidden="false" customHeight="false" outlineLevel="0" collapsed="false">
      <c r="A5" s="30"/>
      <c r="B5" s="30"/>
      <c r="C5" s="30"/>
      <c r="D5" s="30"/>
      <c r="E5" s="30"/>
      <c r="F5" s="30"/>
      <c r="G5" s="30"/>
      <c r="H5" s="30"/>
      <c r="I5" s="46"/>
      <c r="J5" s="30"/>
      <c r="K5" s="47" t="n">
        <v>3</v>
      </c>
      <c r="L5" s="3" t="n">
        <f aca="false">P5*40%</f>
        <v>16</v>
      </c>
      <c r="M5" s="3" t="n">
        <f aca="false">P5*10%</f>
        <v>4</v>
      </c>
      <c r="N5" s="3" t="n">
        <f aca="false">P5*15%</f>
        <v>6</v>
      </c>
      <c r="O5" s="3" t="n">
        <f aca="false">P5*35%</f>
        <v>14</v>
      </c>
      <c r="P5" s="3" t="n">
        <v>40</v>
      </c>
      <c r="R5" s="46"/>
    </row>
    <row r="6" s="3" customFormat="true" ht="13.5" hidden="false" customHeight="false" outlineLevel="0" collapsed="false">
      <c r="A6" s="30"/>
      <c r="B6" s="30"/>
      <c r="C6" s="30"/>
      <c r="D6" s="30"/>
      <c r="E6" s="30"/>
      <c r="F6" s="30"/>
      <c r="G6" s="30"/>
      <c r="H6" s="30"/>
      <c r="I6" s="46"/>
      <c r="J6" s="30"/>
      <c r="K6" s="47" t="n">
        <v>4</v>
      </c>
      <c r="L6" s="3" t="n">
        <f aca="false">P6*40%</f>
        <v>24</v>
      </c>
      <c r="M6" s="3" t="n">
        <f aca="false">P6*10%</f>
        <v>6</v>
      </c>
      <c r="N6" s="3" t="n">
        <f aca="false">P6*15%</f>
        <v>9</v>
      </c>
      <c r="O6" s="3" t="n">
        <f aca="false">P6*35%</f>
        <v>21</v>
      </c>
      <c r="P6" s="3" t="n">
        <v>60</v>
      </c>
      <c r="R6" s="46"/>
    </row>
    <row r="7" s="3" customFormat="true" ht="13.5" hidden="false" customHeight="false" outlineLevel="0" collapsed="false">
      <c r="A7" s="30"/>
      <c r="B7" s="30"/>
      <c r="C7" s="30"/>
      <c r="D7" s="30"/>
      <c r="E7" s="30"/>
      <c r="F7" s="30"/>
      <c r="G7" s="30"/>
      <c r="H7" s="30"/>
      <c r="I7" s="46"/>
      <c r="J7" s="30"/>
      <c r="K7" s="47" t="n">
        <v>5</v>
      </c>
      <c r="L7" s="3" t="n">
        <f aca="false">P7*40%</f>
        <v>20</v>
      </c>
      <c r="M7" s="3" t="n">
        <f aca="false">P7*10%</f>
        <v>5</v>
      </c>
      <c r="N7" s="3" t="n">
        <f aca="false">P7*15%</f>
        <v>7.5</v>
      </c>
      <c r="O7" s="3" t="n">
        <f aca="false">P7*35%</f>
        <v>17.5</v>
      </c>
      <c r="P7" s="3" t="n">
        <v>50</v>
      </c>
      <c r="R7" s="46"/>
    </row>
    <row r="8" s="3" customFormat="true" ht="13.5" hidden="false" customHeight="false" outlineLevel="0" collapsed="false">
      <c r="A8" s="30"/>
      <c r="B8" s="30"/>
      <c r="C8" s="30"/>
      <c r="D8" s="30"/>
      <c r="E8" s="30"/>
      <c r="F8" s="30"/>
      <c r="G8" s="30"/>
      <c r="H8" s="30"/>
      <c r="I8" s="46"/>
      <c r="J8" s="30"/>
      <c r="K8" s="47" t="n">
        <v>6</v>
      </c>
      <c r="L8" s="3" t="n">
        <f aca="false">P8*40%</f>
        <v>16</v>
      </c>
      <c r="M8" s="3" t="n">
        <f aca="false">P8*10%</f>
        <v>4</v>
      </c>
      <c r="N8" s="3" t="n">
        <f aca="false">P8*15%</f>
        <v>6</v>
      </c>
      <c r="O8" s="3" t="n">
        <f aca="false">P8*35%</f>
        <v>14</v>
      </c>
      <c r="P8" s="3" t="n">
        <v>40</v>
      </c>
      <c r="R8" s="46"/>
    </row>
    <row r="9" s="3" customFormat="true" ht="13.5" hidden="false" customHeight="false" outlineLevel="0" collapsed="false">
      <c r="A9" s="30"/>
      <c r="B9" s="30"/>
      <c r="C9" s="30"/>
      <c r="D9" s="30"/>
      <c r="E9" s="30"/>
      <c r="F9" s="30"/>
      <c r="G9" s="30"/>
      <c r="H9" s="30"/>
      <c r="I9" s="46"/>
      <c r="J9" s="30"/>
      <c r="K9" s="47" t="n">
        <v>7</v>
      </c>
      <c r="L9" s="3" t="n">
        <f aca="false">P9*40%</f>
        <v>16</v>
      </c>
      <c r="M9" s="3" t="n">
        <f aca="false">P9*10%</f>
        <v>4</v>
      </c>
      <c r="N9" s="3" t="n">
        <f aca="false">P9*15%</f>
        <v>6</v>
      </c>
      <c r="O9" s="3" t="n">
        <f aca="false">P9*35%</f>
        <v>14</v>
      </c>
      <c r="P9" s="3" t="n">
        <v>40</v>
      </c>
      <c r="R9" s="46"/>
    </row>
    <row r="10" s="3" customFormat="true" ht="13.5" hidden="false" customHeight="false" outlineLevel="0" collapsed="false">
      <c r="A10" s="30"/>
      <c r="B10" s="30"/>
      <c r="C10" s="30"/>
      <c r="D10" s="30"/>
      <c r="E10" s="30"/>
      <c r="F10" s="30"/>
      <c r="G10" s="30"/>
      <c r="H10" s="30"/>
      <c r="I10" s="46"/>
      <c r="J10" s="30"/>
      <c r="K10" s="47" t="n">
        <v>8</v>
      </c>
      <c r="R10" s="46"/>
    </row>
    <row r="11" s="3" customFormat="true" ht="13.5" hidden="false" customHeight="false" outlineLevel="0" collapsed="false">
      <c r="A11" s="30"/>
      <c r="B11" s="30"/>
      <c r="C11" s="30"/>
      <c r="D11" s="30"/>
      <c r="E11" s="30"/>
      <c r="F11" s="30"/>
      <c r="G11" s="30"/>
      <c r="H11" s="30"/>
      <c r="I11" s="46"/>
      <c r="J11" s="30"/>
      <c r="K11" s="47" t="n">
        <v>9</v>
      </c>
      <c r="R11" s="46"/>
    </row>
    <row r="12" s="3" customFormat="true" ht="13.5" hidden="false" customHeight="false" outlineLevel="0" collapsed="false">
      <c r="A12" s="30"/>
      <c r="B12" s="30"/>
      <c r="C12" s="30"/>
      <c r="D12" s="30"/>
      <c r="E12" s="30"/>
      <c r="F12" s="30"/>
      <c r="G12" s="30"/>
      <c r="H12" s="30"/>
      <c r="I12" s="46"/>
      <c r="J12" s="30"/>
      <c r="K12" s="47"/>
      <c r="R12" s="46"/>
    </row>
    <row r="13" customFormat="false" ht="28.5" hidden="false" customHeight="false" outlineLevel="0" collapsed="false">
      <c r="A13" s="5" t="s">
        <v>59</v>
      </c>
      <c r="B13" s="5" t="s">
        <v>60</v>
      </c>
      <c r="C13" s="5" t="s">
        <v>61</v>
      </c>
      <c r="D13" s="5" t="s">
        <v>62</v>
      </c>
      <c r="E13" s="5"/>
      <c r="F13" s="5" t="s">
        <v>63</v>
      </c>
      <c r="G13" s="5" t="s">
        <v>64</v>
      </c>
      <c r="H13" s="5" t="s">
        <v>65</v>
      </c>
      <c r="I13" s="48" t="s">
        <v>49</v>
      </c>
      <c r="K13" s="47"/>
      <c r="L13" s="3"/>
      <c r="M13" s="3"/>
      <c r="N13" s="3"/>
      <c r="O13" s="3"/>
      <c r="P13" s="3"/>
      <c r="R13" s="5" t="s">
        <v>65</v>
      </c>
    </row>
    <row r="14" customFormat="false" ht="15" hidden="false" customHeight="true" outlineLevel="0" collapsed="false">
      <c r="A14" s="49" t="n">
        <v>1</v>
      </c>
      <c r="B14" s="50" t="s">
        <v>66</v>
      </c>
      <c r="C14" s="51" t="s">
        <v>67</v>
      </c>
      <c r="D14" s="50" t="s">
        <v>55</v>
      </c>
      <c r="E14" s="50" t="n">
        <v>4</v>
      </c>
      <c r="F14" s="52" t="s">
        <v>68</v>
      </c>
      <c r="G14" s="49" t="n">
        <v>3</v>
      </c>
      <c r="H14" s="49" t="s">
        <v>69</v>
      </c>
      <c r="I14" s="53" t="n">
        <v>5</v>
      </c>
      <c r="J14" s="54"/>
      <c r="K14" s="47"/>
      <c r="P14" s="3" t="n">
        <f aca="false">SUM(P3:P13)</f>
        <v>310</v>
      </c>
      <c r="R14" s="16" t="s">
        <v>70</v>
      </c>
    </row>
    <row r="15" customFormat="false" ht="14.9" hidden="false" customHeight="false" outlineLevel="0" collapsed="false">
      <c r="A15" s="49"/>
      <c r="B15" s="49"/>
      <c r="C15" s="51"/>
      <c r="D15" s="50"/>
      <c r="E15" s="50"/>
      <c r="F15" s="52" t="s">
        <v>71</v>
      </c>
      <c r="G15" s="50" t="n">
        <v>1</v>
      </c>
      <c r="H15" s="50" t="s">
        <v>72</v>
      </c>
      <c r="I15" s="53"/>
      <c r="J15" s="54"/>
      <c r="K15" s="47"/>
      <c r="R15" s="16" t="s">
        <v>73</v>
      </c>
    </row>
    <row r="16" customFormat="false" ht="15" hidden="false" customHeight="true" outlineLevel="0" collapsed="false">
      <c r="A16" s="49"/>
      <c r="B16" s="49"/>
      <c r="C16" s="51"/>
      <c r="D16" s="50" t="s">
        <v>54</v>
      </c>
      <c r="E16" s="50" t="n">
        <v>16</v>
      </c>
      <c r="F16" s="52" t="s">
        <v>74</v>
      </c>
      <c r="G16" s="49"/>
      <c r="H16" s="49"/>
      <c r="I16" s="53"/>
      <c r="J16" s="54"/>
      <c r="R16" s="16"/>
    </row>
    <row r="17" customFormat="false" ht="14.9" hidden="false" customHeight="false" outlineLevel="0" collapsed="false">
      <c r="A17" s="49"/>
      <c r="B17" s="49"/>
      <c r="C17" s="51"/>
      <c r="D17" s="50"/>
      <c r="E17" s="50"/>
      <c r="F17" s="52" t="s">
        <v>75</v>
      </c>
      <c r="G17" s="49"/>
      <c r="H17" s="49"/>
      <c r="I17" s="53"/>
      <c r="J17" s="54"/>
      <c r="K17" s="47"/>
      <c r="R17" s="16"/>
    </row>
    <row r="18" customFormat="false" ht="14" hidden="false" customHeight="false" outlineLevel="0" collapsed="false">
      <c r="A18" s="49"/>
      <c r="B18" s="49"/>
      <c r="C18" s="51"/>
      <c r="D18" s="50"/>
      <c r="E18" s="50"/>
      <c r="F18" s="55" t="s">
        <v>76</v>
      </c>
      <c r="G18" s="49" t="n">
        <v>14</v>
      </c>
      <c r="H18" s="49" t="s">
        <v>69</v>
      </c>
      <c r="I18" s="53"/>
      <c r="J18" s="54"/>
      <c r="K18" s="56"/>
      <c r="R18" s="16" t="s">
        <v>27</v>
      </c>
    </row>
    <row r="19" customFormat="false" ht="14" hidden="false" customHeight="false" outlineLevel="0" collapsed="false">
      <c r="A19" s="49"/>
      <c r="B19" s="49"/>
      <c r="C19" s="51"/>
      <c r="D19" s="50"/>
      <c r="E19" s="50"/>
      <c r="F19" s="52" t="s">
        <v>77</v>
      </c>
      <c r="G19" s="50" t="n">
        <v>2</v>
      </c>
      <c r="H19" s="50" t="s">
        <v>72</v>
      </c>
      <c r="I19" s="53"/>
      <c r="J19" s="54"/>
      <c r="K19" s="56"/>
      <c r="R19" s="57" t="s">
        <v>12</v>
      </c>
      <c r="AO19" s="16" t="s">
        <v>70</v>
      </c>
    </row>
    <row r="20" customFormat="false" ht="14.25" hidden="false" customHeight="true" outlineLevel="0" collapsed="false">
      <c r="A20" s="49"/>
      <c r="B20" s="49"/>
      <c r="C20" s="51"/>
      <c r="D20" s="50" t="s">
        <v>78</v>
      </c>
      <c r="E20" s="50" t="n">
        <v>6</v>
      </c>
      <c r="F20" s="52" t="s">
        <v>79</v>
      </c>
      <c r="G20" s="49" t="n">
        <v>3</v>
      </c>
      <c r="H20" s="49" t="s">
        <v>69</v>
      </c>
      <c r="I20" s="53"/>
      <c r="J20" s="54"/>
      <c r="K20" s="56"/>
      <c r="R20" s="57" t="s">
        <v>16</v>
      </c>
      <c r="AO20" s="16" t="s">
        <v>27</v>
      </c>
    </row>
    <row r="21" customFormat="false" ht="14" hidden="false" customHeight="false" outlineLevel="0" collapsed="false">
      <c r="A21" s="49"/>
      <c r="B21" s="49"/>
      <c r="C21" s="51"/>
      <c r="D21" s="50"/>
      <c r="E21" s="50"/>
      <c r="F21" s="52" t="s">
        <v>80</v>
      </c>
      <c r="G21" s="50" t="n">
        <v>1</v>
      </c>
      <c r="H21" s="50" t="s">
        <v>72</v>
      </c>
      <c r="I21" s="53"/>
      <c r="J21" s="54"/>
      <c r="K21" s="56"/>
      <c r="R21" s="16" t="s">
        <v>12</v>
      </c>
      <c r="AO21" s="16" t="s">
        <v>73</v>
      </c>
    </row>
    <row r="22" customFormat="false" ht="14" hidden="false" customHeight="false" outlineLevel="0" collapsed="false">
      <c r="A22" s="49"/>
      <c r="B22" s="49"/>
      <c r="C22" s="51"/>
      <c r="D22" s="50"/>
      <c r="E22" s="50"/>
      <c r="F22" s="52" t="s">
        <v>81</v>
      </c>
      <c r="G22" s="49" t="n">
        <v>2</v>
      </c>
      <c r="H22" s="49" t="s">
        <v>69</v>
      </c>
      <c r="I22" s="53"/>
      <c r="J22" s="54"/>
      <c r="K22" s="56"/>
      <c r="R22" s="16" t="s">
        <v>16</v>
      </c>
      <c r="AO22" s="16" t="s">
        <v>82</v>
      </c>
    </row>
    <row r="23" customFormat="false" ht="15" hidden="false" customHeight="true" outlineLevel="0" collapsed="false">
      <c r="A23" s="49"/>
      <c r="B23" s="49"/>
      <c r="C23" s="51"/>
      <c r="D23" s="50" t="s">
        <v>57</v>
      </c>
      <c r="E23" s="50" t="n">
        <v>14</v>
      </c>
      <c r="F23" s="52" t="s">
        <v>83</v>
      </c>
      <c r="G23" s="50" t="n">
        <v>6</v>
      </c>
      <c r="H23" s="50" t="s">
        <v>28</v>
      </c>
      <c r="I23" s="53"/>
      <c r="J23" s="54"/>
      <c r="K23" s="56"/>
      <c r="R23" s="16" t="s">
        <v>16</v>
      </c>
      <c r="AO23" s="16" t="s">
        <v>84</v>
      </c>
    </row>
    <row r="24" customFormat="false" ht="14" hidden="false" customHeight="false" outlineLevel="0" collapsed="false">
      <c r="A24" s="49"/>
      <c r="B24" s="49"/>
      <c r="C24" s="51"/>
      <c r="D24" s="50"/>
      <c r="E24" s="50"/>
      <c r="F24" s="52" t="s">
        <v>85</v>
      </c>
      <c r="G24" s="50" t="n">
        <v>2</v>
      </c>
      <c r="H24" s="50" t="s">
        <v>72</v>
      </c>
      <c r="I24" s="53"/>
      <c r="J24" s="54"/>
      <c r="K24" s="56"/>
      <c r="R24" s="16" t="s">
        <v>86</v>
      </c>
      <c r="AO24" s="16" t="s">
        <v>87</v>
      </c>
    </row>
    <row r="25" customFormat="false" ht="14" hidden="false" customHeight="false" outlineLevel="0" collapsed="false">
      <c r="A25" s="49"/>
      <c r="B25" s="49"/>
      <c r="C25" s="51"/>
      <c r="D25" s="50"/>
      <c r="E25" s="50"/>
      <c r="F25" s="52" t="s">
        <v>88</v>
      </c>
      <c r="G25" s="50" t="n">
        <v>6</v>
      </c>
      <c r="H25" s="50" t="s">
        <v>28</v>
      </c>
      <c r="I25" s="53"/>
      <c r="J25" s="54"/>
      <c r="K25" s="56"/>
      <c r="R25" s="16" t="s">
        <v>16</v>
      </c>
      <c r="AO25" s="16" t="s">
        <v>17</v>
      </c>
    </row>
    <row r="26" customFormat="false" ht="15" hidden="false" customHeight="true" outlineLevel="0" collapsed="false">
      <c r="A26" s="49" t="n">
        <v>2</v>
      </c>
      <c r="B26" s="49" t="s">
        <v>89</v>
      </c>
      <c r="C26" s="51" t="s">
        <v>90</v>
      </c>
      <c r="D26" s="50" t="s">
        <v>55</v>
      </c>
      <c r="E26" s="50" t="n">
        <v>4</v>
      </c>
      <c r="F26" s="52" t="s">
        <v>68</v>
      </c>
      <c r="G26" s="49" t="n">
        <v>3</v>
      </c>
      <c r="H26" s="49" t="s">
        <v>91</v>
      </c>
      <c r="I26" s="53" t="n">
        <v>5</v>
      </c>
      <c r="J26" s="54"/>
      <c r="K26" s="56"/>
      <c r="R26" s="16" t="s">
        <v>70</v>
      </c>
    </row>
    <row r="27" customFormat="false" ht="14" hidden="false" customHeight="false" outlineLevel="0" collapsed="false">
      <c r="A27" s="49"/>
      <c r="B27" s="49"/>
      <c r="C27" s="51"/>
      <c r="D27" s="50"/>
      <c r="E27" s="50"/>
      <c r="F27" s="52" t="s">
        <v>71</v>
      </c>
      <c r="G27" s="50" t="n">
        <v>1</v>
      </c>
      <c r="H27" s="50" t="s">
        <v>72</v>
      </c>
      <c r="I27" s="53"/>
      <c r="J27" s="54"/>
      <c r="K27" s="56"/>
      <c r="R27" s="16" t="s">
        <v>73</v>
      </c>
    </row>
    <row r="28" customFormat="false" ht="15" hidden="false" customHeight="true" outlineLevel="0" collapsed="false">
      <c r="A28" s="49"/>
      <c r="B28" s="49"/>
      <c r="C28" s="51"/>
      <c r="D28" s="50" t="s">
        <v>54</v>
      </c>
      <c r="E28" s="50" t="n">
        <v>16</v>
      </c>
      <c r="F28" s="52" t="s">
        <v>74</v>
      </c>
      <c r="G28" s="49"/>
      <c r="H28" s="49"/>
      <c r="I28" s="53"/>
      <c r="J28" s="54"/>
      <c r="K28" s="56"/>
      <c r="R28" s="58"/>
    </row>
    <row r="29" customFormat="false" ht="14" hidden="false" customHeight="false" outlineLevel="0" collapsed="false">
      <c r="A29" s="49"/>
      <c r="B29" s="49"/>
      <c r="C29" s="51"/>
      <c r="D29" s="50"/>
      <c r="E29" s="50"/>
      <c r="F29" s="52" t="s">
        <v>75</v>
      </c>
      <c r="G29" s="49"/>
      <c r="H29" s="49"/>
      <c r="I29" s="53"/>
      <c r="J29" s="54"/>
      <c r="K29" s="56"/>
      <c r="R29" s="58"/>
    </row>
    <row r="30" customFormat="false" ht="14" hidden="false" customHeight="false" outlineLevel="0" collapsed="false">
      <c r="A30" s="49"/>
      <c r="B30" s="49"/>
      <c r="C30" s="51"/>
      <c r="D30" s="50"/>
      <c r="E30" s="50"/>
      <c r="F30" s="55" t="s">
        <v>76</v>
      </c>
      <c r="G30" s="49" t="n">
        <v>14</v>
      </c>
      <c r="H30" s="49" t="s">
        <v>91</v>
      </c>
      <c r="I30" s="53"/>
      <c r="J30" s="54"/>
      <c r="K30" s="56"/>
      <c r="R30" s="59" t="s">
        <v>92</v>
      </c>
    </row>
    <row r="31" customFormat="false" ht="14" hidden="false" customHeight="false" outlineLevel="0" collapsed="false">
      <c r="A31" s="49"/>
      <c r="B31" s="49"/>
      <c r="C31" s="51"/>
      <c r="D31" s="50"/>
      <c r="E31" s="50"/>
      <c r="F31" s="52" t="s">
        <v>77</v>
      </c>
      <c r="G31" s="50" t="n">
        <v>2</v>
      </c>
      <c r="H31" s="50" t="s">
        <v>72</v>
      </c>
      <c r="I31" s="53"/>
      <c r="J31" s="54"/>
      <c r="K31" s="56"/>
      <c r="R31" s="16" t="s">
        <v>12</v>
      </c>
    </row>
    <row r="32" customFormat="false" ht="15" hidden="false" customHeight="true" outlineLevel="0" collapsed="false">
      <c r="A32" s="49"/>
      <c r="B32" s="49"/>
      <c r="C32" s="51"/>
      <c r="D32" s="50" t="s">
        <v>78</v>
      </c>
      <c r="E32" s="50" t="n">
        <v>6</v>
      </c>
      <c r="F32" s="52" t="s">
        <v>79</v>
      </c>
      <c r="G32" s="49" t="n">
        <v>3</v>
      </c>
      <c r="H32" s="49" t="s">
        <v>91</v>
      </c>
      <c r="I32" s="53"/>
      <c r="J32" s="54"/>
      <c r="K32" s="56"/>
      <c r="R32" s="16" t="s">
        <v>16</v>
      </c>
    </row>
    <row r="33" customFormat="false" ht="14" hidden="false" customHeight="false" outlineLevel="0" collapsed="false">
      <c r="A33" s="49"/>
      <c r="B33" s="49"/>
      <c r="C33" s="51"/>
      <c r="D33" s="50"/>
      <c r="E33" s="50"/>
      <c r="F33" s="52" t="s">
        <v>80</v>
      </c>
      <c r="G33" s="50" t="n">
        <v>1</v>
      </c>
      <c r="H33" s="50" t="s">
        <v>72</v>
      </c>
      <c r="I33" s="53"/>
      <c r="J33" s="54"/>
      <c r="K33" s="56"/>
      <c r="R33" s="16" t="s">
        <v>73</v>
      </c>
    </row>
    <row r="34" customFormat="false" ht="14" hidden="false" customHeight="false" outlineLevel="0" collapsed="false">
      <c r="A34" s="49"/>
      <c r="B34" s="49"/>
      <c r="C34" s="51"/>
      <c r="D34" s="50"/>
      <c r="E34" s="50"/>
      <c r="F34" s="52" t="s">
        <v>81</v>
      </c>
      <c r="G34" s="49" t="n">
        <v>2</v>
      </c>
      <c r="H34" s="49" t="s">
        <v>91</v>
      </c>
      <c r="I34" s="53"/>
      <c r="J34" s="54"/>
      <c r="K34" s="56"/>
      <c r="R34" s="16" t="s">
        <v>16</v>
      </c>
    </row>
    <row r="35" customFormat="false" ht="15" hidden="false" customHeight="true" outlineLevel="0" collapsed="false">
      <c r="A35" s="49"/>
      <c r="B35" s="49"/>
      <c r="C35" s="51"/>
      <c r="D35" s="50" t="s">
        <v>57</v>
      </c>
      <c r="E35" s="50" t="n">
        <v>14</v>
      </c>
      <c r="F35" s="52" t="s">
        <v>83</v>
      </c>
      <c r="G35" s="50" t="n">
        <v>6</v>
      </c>
      <c r="H35" s="50" t="s">
        <v>16</v>
      </c>
      <c r="I35" s="53"/>
      <c r="J35" s="54"/>
      <c r="K35" s="56"/>
      <c r="R35" s="16" t="s">
        <v>16</v>
      </c>
    </row>
    <row r="36" customFormat="false" ht="14" hidden="false" customHeight="false" outlineLevel="0" collapsed="false">
      <c r="A36" s="49"/>
      <c r="B36" s="49"/>
      <c r="C36" s="51"/>
      <c r="D36" s="50"/>
      <c r="E36" s="50"/>
      <c r="F36" s="52" t="s">
        <v>85</v>
      </c>
      <c r="G36" s="50" t="n">
        <v>2</v>
      </c>
      <c r="H36" s="50" t="s">
        <v>72</v>
      </c>
      <c r="I36" s="53"/>
      <c r="J36" s="54"/>
      <c r="K36" s="56"/>
      <c r="R36" s="16" t="s">
        <v>86</v>
      </c>
    </row>
    <row r="37" customFormat="false" ht="14" hidden="false" customHeight="false" outlineLevel="0" collapsed="false">
      <c r="A37" s="49"/>
      <c r="B37" s="49"/>
      <c r="C37" s="51"/>
      <c r="D37" s="50"/>
      <c r="E37" s="50"/>
      <c r="F37" s="52" t="s">
        <v>88</v>
      </c>
      <c r="G37" s="50" t="n">
        <v>6</v>
      </c>
      <c r="H37" s="50" t="s">
        <v>16</v>
      </c>
      <c r="I37" s="53"/>
      <c r="J37" s="54"/>
      <c r="K37" s="56"/>
      <c r="R37" s="16" t="s">
        <v>16</v>
      </c>
    </row>
    <row r="38" customFormat="false" ht="15" hidden="false" customHeight="true" outlineLevel="0" collapsed="false">
      <c r="A38" s="49" t="n">
        <v>3</v>
      </c>
      <c r="B38" s="50" t="s">
        <v>93</v>
      </c>
      <c r="C38" s="51" t="s">
        <v>94</v>
      </c>
      <c r="D38" s="50" t="s">
        <v>55</v>
      </c>
      <c r="E38" s="50" t="n">
        <v>4</v>
      </c>
      <c r="F38" s="52" t="s">
        <v>68</v>
      </c>
      <c r="G38" s="49" t="n">
        <v>3</v>
      </c>
      <c r="H38" s="49" t="s">
        <v>69</v>
      </c>
      <c r="I38" s="53" t="n">
        <v>8</v>
      </c>
      <c r="J38" s="54"/>
      <c r="K38" s="56"/>
      <c r="R38" s="16" t="s">
        <v>70</v>
      </c>
      <c r="AO38" s="16" t="s">
        <v>16</v>
      </c>
    </row>
    <row r="39" customFormat="false" ht="14" hidden="false" customHeight="false" outlineLevel="0" collapsed="false">
      <c r="A39" s="49"/>
      <c r="B39" s="49"/>
      <c r="C39" s="51"/>
      <c r="D39" s="50"/>
      <c r="E39" s="50"/>
      <c r="F39" s="52" t="s">
        <v>71</v>
      </c>
      <c r="G39" s="50" t="n">
        <v>1</v>
      </c>
      <c r="H39" s="50" t="s">
        <v>72</v>
      </c>
      <c r="I39" s="53"/>
      <c r="J39" s="54"/>
      <c r="K39" s="56"/>
      <c r="R39" s="16" t="s">
        <v>73</v>
      </c>
      <c r="AO39" s="16" t="s">
        <v>14</v>
      </c>
    </row>
    <row r="40" customFormat="false" ht="15" hidden="false" customHeight="true" outlineLevel="0" collapsed="false">
      <c r="A40" s="49"/>
      <c r="B40" s="49"/>
      <c r="C40" s="51"/>
      <c r="D40" s="50" t="s">
        <v>54</v>
      </c>
      <c r="E40" s="50" t="n">
        <v>16</v>
      </c>
      <c r="F40" s="52" t="s">
        <v>74</v>
      </c>
      <c r="G40" s="49"/>
      <c r="H40" s="49"/>
      <c r="I40" s="53"/>
      <c r="J40" s="54"/>
      <c r="K40" s="56"/>
      <c r="R40" s="16"/>
      <c r="AO40" s="16"/>
    </row>
    <row r="41" customFormat="false" ht="14" hidden="false" customHeight="false" outlineLevel="0" collapsed="false">
      <c r="A41" s="49"/>
      <c r="B41" s="49"/>
      <c r="C41" s="51"/>
      <c r="D41" s="50"/>
      <c r="E41" s="50"/>
      <c r="F41" s="52" t="s">
        <v>75</v>
      </c>
      <c r="G41" s="49"/>
      <c r="H41" s="49"/>
      <c r="I41" s="53"/>
      <c r="J41" s="54"/>
      <c r="K41" s="56"/>
      <c r="R41" s="16"/>
      <c r="AO41" s="16"/>
    </row>
    <row r="42" customFormat="false" ht="14" hidden="false" customHeight="false" outlineLevel="0" collapsed="false">
      <c r="A42" s="49"/>
      <c r="B42" s="49"/>
      <c r="C42" s="51"/>
      <c r="D42" s="50"/>
      <c r="E42" s="50"/>
      <c r="F42" s="52" t="s">
        <v>76</v>
      </c>
      <c r="G42" s="49" t="n">
        <v>14</v>
      </c>
      <c r="H42" s="49" t="s">
        <v>69</v>
      </c>
      <c r="I42" s="53"/>
      <c r="J42" s="54"/>
      <c r="K42" s="56"/>
      <c r="R42" s="57" t="s">
        <v>95</v>
      </c>
      <c r="AO42" s="16" t="s">
        <v>12</v>
      </c>
    </row>
    <row r="43" customFormat="false" ht="14" hidden="false" customHeight="false" outlineLevel="0" collapsed="false">
      <c r="A43" s="49"/>
      <c r="B43" s="49"/>
      <c r="C43" s="51"/>
      <c r="D43" s="50"/>
      <c r="E43" s="50"/>
      <c r="F43" s="52" t="s">
        <v>77</v>
      </c>
      <c r="G43" s="50" t="n">
        <v>2</v>
      </c>
      <c r="H43" s="50" t="s">
        <v>72</v>
      </c>
      <c r="I43" s="53"/>
      <c r="J43" s="54"/>
      <c r="K43" s="56"/>
      <c r="R43" s="16" t="s">
        <v>12</v>
      </c>
      <c r="AO43" s="26"/>
    </row>
    <row r="44" customFormat="false" ht="15" hidden="false" customHeight="true" outlineLevel="0" collapsed="false">
      <c r="A44" s="49"/>
      <c r="B44" s="49"/>
      <c r="C44" s="51"/>
      <c r="D44" s="50" t="s">
        <v>78</v>
      </c>
      <c r="E44" s="50" t="n">
        <v>6</v>
      </c>
      <c r="F44" s="52" t="s">
        <v>79</v>
      </c>
      <c r="G44" s="49" t="n">
        <v>3</v>
      </c>
      <c r="H44" s="49" t="s">
        <v>69</v>
      </c>
      <c r="I44" s="53"/>
      <c r="J44" s="54"/>
      <c r="K44" s="56"/>
      <c r="R44" s="57" t="s">
        <v>17</v>
      </c>
    </row>
    <row r="45" customFormat="false" ht="14" hidden="false" customHeight="false" outlineLevel="0" collapsed="false">
      <c r="A45" s="49"/>
      <c r="B45" s="49"/>
      <c r="C45" s="51"/>
      <c r="D45" s="50"/>
      <c r="E45" s="50"/>
      <c r="F45" s="52" t="s">
        <v>80</v>
      </c>
      <c r="G45" s="50" t="n">
        <v>1</v>
      </c>
      <c r="H45" s="50" t="s">
        <v>72</v>
      </c>
      <c r="I45" s="53"/>
      <c r="J45" s="54"/>
      <c r="K45" s="56"/>
      <c r="R45" s="16" t="s">
        <v>12</v>
      </c>
    </row>
    <row r="46" customFormat="false" ht="14" hidden="false" customHeight="false" outlineLevel="0" collapsed="false">
      <c r="A46" s="49"/>
      <c r="B46" s="49"/>
      <c r="C46" s="51"/>
      <c r="D46" s="50"/>
      <c r="E46" s="50"/>
      <c r="F46" s="52" t="s">
        <v>81</v>
      </c>
      <c r="G46" s="49" t="n">
        <v>2</v>
      </c>
      <c r="H46" s="49" t="s">
        <v>69</v>
      </c>
      <c r="I46" s="53"/>
      <c r="J46" s="54"/>
      <c r="K46" s="56"/>
      <c r="R46" s="16" t="s">
        <v>17</v>
      </c>
    </row>
    <row r="47" customFormat="false" ht="15" hidden="false" customHeight="true" outlineLevel="0" collapsed="false">
      <c r="A47" s="49"/>
      <c r="B47" s="49"/>
      <c r="C47" s="51"/>
      <c r="D47" s="50" t="s">
        <v>57</v>
      </c>
      <c r="E47" s="50" t="n">
        <v>14</v>
      </c>
      <c r="F47" s="52" t="s">
        <v>83</v>
      </c>
      <c r="G47" s="50" t="n">
        <v>6</v>
      </c>
      <c r="H47" s="50" t="s">
        <v>28</v>
      </c>
      <c r="I47" s="53"/>
      <c r="J47" s="54"/>
      <c r="K47" s="56"/>
      <c r="R47" s="16" t="s">
        <v>17</v>
      </c>
    </row>
    <row r="48" customFormat="false" ht="14" hidden="false" customHeight="false" outlineLevel="0" collapsed="false">
      <c r="A48" s="49"/>
      <c r="B48" s="49"/>
      <c r="C48" s="51"/>
      <c r="D48" s="50"/>
      <c r="E48" s="50"/>
      <c r="F48" s="52" t="s">
        <v>85</v>
      </c>
      <c r="G48" s="50" t="n">
        <v>2</v>
      </c>
      <c r="H48" s="50" t="s">
        <v>72</v>
      </c>
      <c r="I48" s="53"/>
      <c r="J48" s="54"/>
      <c r="K48" s="56"/>
      <c r="R48" s="16" t="s">
        <v>86</v>
      </c>
    </row>
    <row r="49" customFormat="false" ht="14" hidden="false" customHeight="false" outlineLevel="0" collapsed="false">
      <c r="A49" s="49"/>
      <c r="B49" s="49"/>
      <c r="C49" s="51"/>
      <c r="D49" s="50"/>
      <c r="E49" s="50"/>
      <c r="F49" s="52" t="s">
        <v>88</v>
      </c>
      <c r="G49" s="50" t="n">
        <v>6</v>
      </c>
      <c r="H49" s="50" t="s">
        <v>28</v>
      </c>
      <c r="I49" s="53" t="n">
        <v>8</v>
      </c>
      <c r="J49" s="54"/>
      <c r="K49" s="56"/>
      <c r="R49" s="16" t="s">
        <v>17</v>
      </c>
    </row>
    <row r="50" customFormat="false" ht="15" hidden="false" customHeight="true" outlineLevel="0" collapsed="false">
      <c r="A50" s="49" t="n">
        <v>4</v>
      </c>
      <c r="B50" s="50" t="s">
        <v>96</v>
      </c>
      <c r="C50" s="51" t="s">
        <v>97</v>
      </c>
      <c r="D50" s="50" t="s">
        <v>55</v>
      </c>
      <c r="E50" s="50" t="n">
        <v>6</v>
      </c>
      <c r="F50" s="52" t="s">
        <v>68</v>
      </c>
      <c r="G50" s="49" t="n">
        <v>4</v>
      </c>
      <c r="H50" s="49" t="s">
        <v>26</v>
      </c>
      <c r="I50" s="53"/>
      <c r="J50" s="54"/>
      <c r="K50" s="56"/>
      <c r="R50" s="16"/>
    </row>
    <row r="51" customFormat="false" ht="14.9" hidden="false" customHeight="false" outlineLevel="0" collapsed="false">
      <c r="A51" s="49"/>
      <c r="B51" s="49"/>
      <c r="C51" s="51"/>
      <c r="D51" s="50"/>
      <c r="E51" s="50"/>
      <c r="F51" s="52" t="s">
        <v>71</v>
      </c>
      <c r="G51" s="50" t="n">
        <v>2</v>
      </c>
      <c r="H51" s="50" t="s">
        <v>72</v>
      </c>
      <c r="I51" s="53"/>
      <c r="J51" s="54"/>
      <c r="K51" s="56"/>
      <c r="R51" s="16"/>
    </row>
    <row r="52" customFormat="false" ht="15" hidden="false" customHeight="true" outlineLevel="0" collapsed="false">
      <c r="A52" s="49"/>
      <c r="B52" s="49"/>
      <c r="C52" s="51"/>
      <c r="D52" s="50" t="s">
        <v>54</v>
      </c>
      <c r="E52" s="50" t="n">
        <v>24</v>
      </c>
      <c r="F52" s="52" t="s">
        <v>74</v>
      </c>
      <c r="G52" s="49" t="n">
        <v>6</v>
      </c>
      <c r="H52" s="49" t="s">
        <v>26</v>
      </c>
      <c r="I52" s="53"/>
      <c r="J52" s="54"/>
      <c r="K52" s="56"/>
      <c r="R52" s="58"/>
    </row>
    <row r="53" customFormat="false" ht="14.9" hidden="false" customHeight="false" outlineLevel="0" collapsed="false">
      <c r="A53" s="49"/>
      <c r="B53" s="49"/>
      <c r="C53" s="51"/>
      <c r="D53" s="50"/>
      <c r="E53" s="50"/>
      <c r="F53" s="52" t="s">
        <v>75</v>
      </c>
      <c r="G53" s="49"/>
      <c r="H53" s="49"/>
      <c r="I53" s="53"/>
      <c r="J53" s="54"/>
      <c r="K53" s="56"/>
      <c r="R53" s="58"/>
    </row>
    <row r="54" customFormat="false" ht="14" hidden="false" customHeight="false" outlineLevel="0" collapsed="false">
      <c r="A54" s="49"/>
      <c r="B54" s="49"/>
      <c r="C54" s="51"/>
      <c r="D54" s="50"/>
      <c r="E54" s="50"/>
      <c r="F54" s="55" t="s">
        <v>76</v>
      </c>
      <c r="G54" s="49" t="n">
        <v>16</v>
      </c>
      <c r="H54" s="49" t="s">
        <v>26</v>
      </c>
      <c r="I54" s="53"/>
      <c r="J54" s="54"/>
      <c r="K54" s="56"/>
      <c r="R54" s="59"/>
    </row>
    <row r="55" customFormat="false" ht="14.9" hidden="false" customHeight="false" outlineLevel="0" collapsed="false">
      <c r="A55" s="49"/>
      <c r="B55" s="49"/>
      <c r="C55" s="51"/>
      <c r="D55" s="50"/>
      <c r="E55" s="50"/>
      <c r="F55" s="52" t="s">
        <v>77</v>
      </c>
      <c r="G55" s="50" t="n">
        <v>2</v>
      </c>
      <c r="H55" s="50" t="s">
        <v>72</v>
      </c>
      <c r="I55" s="53"/>
      <c r="J55" s="54"/>
      <c r="K55" s="56"/>
      <c r="R55" s="16"/>
    </row>
    <row r="56" customFormat="false" ht="15" hidden="false" customHeight="true" outlineLevel="0" collapsed="false">
      <c r="A56" s="49"/>
      <c r="B56" s="49"/>
      <c r="C56" s="51"/>
      <c r="D56" s="50" t="s">
        <v>78</v>
      </c>
      <c r="E56" s="50" t="n">
        <v>9</v>
      </c>
      <c r="F56" s="52" t="s">
        <v>79</v>
      </c>
      <c r="G56" s="49" t="n">
        <v>2</v>
      </c>
      <c r="H56" s="49" t="s">
        <v>26</v>
      </c>
      <c r="I56" s="53"/>
      <c r="J56" s="54"/>
      <c r="K56" s="56"/>
      <c r="R56" s="16"/>
    </row>
    <row r="57" customFormat="false" ht="14.9" hidden="false" customHeight="false" outlineLevel="0" collapsed="false">
      <c r="A57" s="49"/>
      <c r="B57" s="49"/>
      <c r="C57" s="51"/>
      <c r="D57" s="50"/>
      <c r="E57" s="50"/>
      <c r="F57" s="52" t="s">
        <v>80</v>
      </c>
      <c r="G57" s="50" t="n">
        <v>2</v>
      </c>
      <c r="H57" s="50" t="s">
        <v>72</v>
      </c>
      <c r="I57" s="53"/>
      <c r="J57" s="54"/>
      <c r="K57" s="56"/>
      <c r="R57" s="16"/>
    </row>
    <row r="58" customFormat="false" ht="14" hidden="false" customHeight="false" outlineLevel="0" collapsed="false">
      <c r="A58" s="49"/>
      <c r="B58" s="49"/>
      <c r="C58" s="51"/>
      <c r="D58" s="50"/>
      <c r="E58" s="50"/>
      <c r="F58" s="52" t="s">
        <v>81</v>
      </c>
      <c r="G58" s="49" t="n">
        <v>5</v>
      </c>
      <c r="H58" s="49" t="s">
        <v>26</v>
      </c>
      <c r="I58" s="53"/>
      <c r="J58" s="54"/>
      <c r="K58" s="56"/>
      <c r="R58" s="16"/>
    </row>
    <row r="59" customFormat="false" ht="15" hidden="false" customHeight="true" outlineLevel="0" collapsed="false">
      <c r="A59" s="49"/>
      <c r="B59" s="49"/>
      <c r="C59" s="51"/>
      <c r="D59" s="50" t="s">
        <v>57</v>
      </c>
      <c r="E59" s="50" t="n">
        <v>21</v>
      </c>
      <c r="F59" s="52" t="s">
        <v>83</v>
      </c>
      <c r="G59" s="50" t="n">
        <v>8</v>
      </c>
      <c r="H59" s="50" t="s">
        <v>16</v>
      </c>
      <c r="I59" s="53"/>
      <c r="J59" s="54"/>
      <c r="K59" s="56"/>
      <c r="R59" s="16"/>
    </row>
    <row r="60" customFormat="false" ht="14.9" hidden="false" customHeight="false" outlineLevel="0" collapsed="false">
      <c r="A60" s="49"/>
      <c r="B60" s="49"/>
      <c r="C60" s="51"/>
      <c r="D60" s="50"/>
      <c r="E60" s="50"/>
      <c r="F60" s="52" t="s">
        <v>85</v>
      </c>
      <c r="G60" s="50" t="n">
        <v>2</v>
      </c>
      <c r="H60" s="50" t="s">
        <v>72</v>
      </c>
      <c r="I60" s="53"/>
      <c r="J60" s="54"/>
      <c r="K60" s="56"/>
      <c r="R60" s="16"/>
    </row>
    <row r="61" customFormat="false" ht="14" hidden="false" customHeight="false" outlineLevel="0" collapsed="false">
      <c r="A61" s="49"/>
      <c r="B61" s="49"/>
      <c r="C61" s="51"/>
      <c r="D61" s="50"/>
      <c r="E61" s="50"/>
      <c r="F61" s="52" t="s">
        <v>88</v>
      </c>
      <c r="G61" s="50" t="n">
        <v>6</v>
      </c>
      <c r="H61" s="50" t="s">
        <v>16</v>
      </c>
      <c r="I61" s="53"/>
      <c r="J61" s="54"/>
      <c r="K61" s="56"/>
      <c r="R61" s="16"/>
    </row>
    <row r="62" customFormat="false" ht="13.5" hidden="false" customHeight="true" outlineLevel="0" collapsed="false">
      <c r="A62" s="49" t="n">
        <v>5</v>
      </c>
      <c r="B62" s="50" t="s">
        <v>98</v>
      </c>
      <c r="C62" s="51" t="s">
        <v>99</v>
      </c>
      <c r="D62" s="50" t="s">
        <v>55</v>
      </c>
      <c r="E62" s="50" t="n">
        <v>5</v>
      </c>
      <c r="F62" s="52" t="s">
        <v>68</v>
      </c>
      <c r="G62" s="49" t="n">
        <v>3</v>
      </c>
      <c r="H62" s="49" t="s">
        <v>91</v>
      </c>
      <c r="I62" s="53" t="n">
        <v>8</v>
      </c>
    </row>
    <row r="63" customFormat="false" ht="14.9" hidden="false" customHeight="false" outlineLevel="0" collapsed="false">
      <c r="A63" s="49"/>
      <c r="B63" s="49"/>
      <c r="C63" s="51"/>
      <c r="D63" s="50"/>
      <c r="E63" s="50"/>
      <c r="F63" s="52" t="s">
        <v>71</v>
      </c>
      <c r="G63" s="50" t="n">
        <v>2</v>
      </c>
      <c r="H63" s="50" t="s">
        <v>72</v>
      </c>
      <c r="I63" s="53"/>
    </row>
    <row r="64" customFormat="false" ht="13.5" hidden="false" customHeight="true" outlineLevel="0" collapsed="false">
      <c r="A64" s="49"/>
      <c r="B64" s="49"/>
      <c r="C64" s="51"/>
      <c r="D64" s="50" t="s">
        <v>54</v>
      </c>
      <c r="E64" s="50" t="n">
        <v>20</v>
      </c>
      <c r="F64" s="52" t="s">
        <v>74</v>
      </c>
      <c r="G64" s="49"/>
      <c r="H64" s="53"/>
      <c r="I64" s="53"/>
    </row>
    <row r="65" customFormat="false" ht="14.9" hidden="false" customHeight="false" outlineLevel="0" collapsed="false">
      <c r="A65" s="49"/>
      <c r="B65" s="49"/>
      <c r="C65" s="51"/>
      <c r="D65" s="50"/>
      <c r="E65" s="50"/>
      <c r="F65" s="52" t="s">
        <v>75</v>
      </c>
      <c r="G65" s="49"/>
      <c r="H65" s="49"/>
      <c r="I65" s="53"/>
    </row>
    <row r="66" customFormat="false" ht="14" hidden="false" customHeight="false" outlineLevel="0" collapsed="false">
      <c r="A66" s="49"/>
      <c r="B66" s="49"/>
      <c r="C66" s="51"/>
      <c r="D66" s="50"/>
      <c r="E66" s="50"/>
      <c r="F66" s="52" t="s">
        <v>76</v>
      </c>
      <c r="G66" s="49" t="n">
        <v>18</v>
      </c>
      <c r="H66" s="49" t="s">
        <v>91</v>
      </c>
      <c r="I66" s="53"/>
    </row>
    <row r="67" customFormat="false" ht="14.9" hidden="false" customHeight="false" outlineLevel="0" collapsed="false">
      <c r="A67" s="49"/>
      <c r="B67" s="49"/>
      <c r="C67" s="51"/>
      <c r="D67" s="50"/>
      <c r="E67" s="50"/>
      <c r="F67" s="52" t="s">
        <v>77</v>
      </c>
      <c r="G67" s="50" t="n">
        <v>4</v>
      </c>
      <c r="H67" s="50"/>
      <c r="I67" s="53"/>
    </row>
    <row r="68" customFormat="false" ht="13.5" hidden="false" customHeight="true" outlineLevel="0" collapsed="false">
      <c r="A68" s="49"/>
      <c r="B68" s="49"/>
      <c r="C68" s="51"/>
      <c r="D68" s="50" t="s">
        <v>78</v>
      </c>
      <c r="E68" s="50" t="n">
        <v>8</v>
      </c>
      <c r="F68" s="52" t="s">
        <v>79</v>
      </c>
      <c r="G68" s="49" t="n">
        <v>4</v>
      </c>
      <c r="H68" s="49" t="s">
        <v>91</v>
      </c>
      <c r="I68" s="53"/>
    </row>
    <row r="69" customFormat="false" ht="14.9" hidden="false" customHeight="false" outlineLevel="0" collapsed="false">
      <c r="A69" s="49"/>
      <c r="B69" s="49"/>
      <c r="C69" s="51"/>
      <c r="D69" s="50"/>
      <c r="E69" s="50"/>
      <c r="F69" s="52" t="s">
        <v>80</v>
      </c>
      <c r="G69" s="50" t="n">
        <v>1</v>
      </c>
      <c r="H69" s="50" t="s">
        <v>72</v>
      </c>
      <c r="I69" s="53"/>
    </row>
    <row r="70" customFormat="false" ht="14" hidden="false" customHeight="false" outlineLevel="0" collapsed="false">
      <c r="A70" s="49"/>
      <c r="B70" s="49"/>
      <c r="C70" s="51"/>
      <c r="D70" s="50"/>
      <c r="E70" s="50"/>
      <c r="F70" s="52" t="s">
        <v>81</v>
      </c>
      <c r="G70" s="49" t="n">
        <v>4</v>
      </c>
      <c r="H70" s="49" t="s">
        <v>91</v>
      </c>
      <c r="I70" s="53"/>
    </row>
    <row r="71" customFormat="false" ht="13.5" hidden="false" customHeight="true" outlineLevel="0" collapsed="false">
      <c r="A71" s="49"/>
      <c r="B71" s="49"/>
      <c r="C71" s="51"/>
      <c r="D71" s="50" t="s">
        <v>57</v>
      </c>
      <c r="E71" s="50" t="n">
        <v>18</v>
      </c>
      <c r="F71" s="52" t="s">
        <v>83</v>
      </c>
      <c r="G71" s="50" t="n">
        <v>8</v>
      </c>
      <c r="H71" s="50" t="s">
        <v>16</v>
      </c>
      <c r="I71" s="53"/>
    </row>
    <row r="72" customFormat="false" ht="14.9" hidden="false" customHeight="false" outlineLevel="0" collapsed="false">
      <c r="A72" s="49"/>
      <c r="B72" s="49"/>
      <c r="C72" s="51"/>
      <c r="D72" s="50"/>
      <c r="E72" s="50"/>
      <c r="F72" s="52" t="s">
        <v>85</v>
      </c>
      <c r="G72" s="50" t="n">
        <v>2</v>
      </c>
      <c r="H72" s="50" t="s">
        <v>72</v>
      </c>
      <c r="I72" s="53"/>
    </row>
    <row r="73" customFormat="false" ht="14.9" hidden="false" customHeight="false" outlineLevel="0" collapsed="false">
      <c r="A73" s="49"/>
      <c r="B73" s="49"/>
      <c r="C73" s="51"/>
      <c r="D73" s="50"/>
      <c r="E73" s="50"/>
      <c r="F73" s="52" t="s">
        <v>88</v>
      </c>
      <c r="G73" s="50" t="n">
        <v>8</v>
      </c>
      <c r="H73" s="50" t="s">
        <v>16</v>
      </c>
      <c r="I73" s="53"/>
    </row>
    <row r="74" customFormat="false" ht="13.5" hidden="false" customHeight="true" outlineLevel="0" collapsed="false">
      <c r="A74" s="49" t="n">
        <v>6</v>
      </c>
      <c r="B74" s="50" t="s">
        <v>100</v>
      </c>
      <c r="C74" s="51" t="s">
        <v>101</v>
      </c>
      <c r="D74" s="50" t="s">
        <v>55</v>
      </c>
      <c r="E74" s="50" t="n">
        <v>4</v>
      </c>
      <c r="F74" s="52" t="s">
        <v>68</v>
      </c>
      <c r="G74" s="49" t="n">
        <v>3</v>
      </c>
      <c r="H74" s="53"/>
      <c r="I74" s="53" t="n">
        <v>5</v>
      </c>
    </row>
    <row r="75" customFormat="false" ht="14" hidden="false" customHeight="false" outlineLevel="0" collapsed="false">
      <c r="A75" s="49"/>
      <c r="B75" s="49"/>
      <c r="C75" s="51"/>
      <c r="D75" s="50"/>
      <c r="E75" s="50"/>
      <c r="F75" s="52" t="s">
        <v>71</v>
      </c>
      <c r="G75" s="50" t="n">
        <v>1</v>
      </c>
      <c r="H75" s="50" t="s">
        <v>72</v>
      </c>
      <c r="I75" s="53"/>
    </row>
    <row r="76" customFormat="false" ht="13.5" hidden="false" customHeight="true" outlineLevel="0" collapsed="false">
      <c r="A76" s="49"/>
      <c r="B76" s="49"/>
      <c r="C76" s="51"/>
      <c r="D76" s="50" t="s">
        <v>54</v>
      </c>
      <c r="E76" s="50" t="n">
        <v>16</v>
      </c>
      <c r="F76" s="52" t="s">
        <v>74</v>
      </c>
      <c r="G76" s="49"/>
      <c r="H76" s="53"/>
      <c r="I76" s="53"/>
    </row>
    <row r="77" customFormat="false" ht="14" hidden="false" customHeight="false" outlineLevel="0" collapsed="false">
      <c r="A77" s="49"/>
      <c r="B77" s="49"/>
      <c r="C77" s="51"/>
      <c r="D77" s="50"/>
      <c r="E77" s="50"/>
      <c r="F77" s="52" t="s">
        <v>75</v>
      </c>
      <c r="G77" s="49"/>
      <c r="H77" s="49"/>
      <c r="I77" s="53"/>
    </row>
    <row r="78" customFormat="false" ht="14" hidden="false" customHeight="false" outlineLevel="0" collapsed="false">
      <c r="A78" s="49"/>
      <c r="B78" s="49"/>
      <c r="C78" s="51"/>
      <c r="D78" s="50"/>
      <c r="E78" s="50"/>
      <c r="F78" s="52" t="s">
        <v>76</v>
      </c>
      <c r="G78" s="49" t="n">
        <v>14</v>
      </c>
      <c r="H78" s="50" t="s">
        <v>72</v>
      </c>
      <c r="I78" s="53"/>
    </row>
    <row r="79" customFormat="false" ht="14" hidden="false" customHeight="false" outlineLevel="0" collapsed="false">
      <c r="A79" s="49"/>
      <c r="B79" s="49"/>
      <c r="C79" s="51"/>
      <c r="D79" s="50"/>
      <c r="E79" s="50"/>
      <c r="F79" s="52" t="s">
        <v>77</v>
      </c>
      <c r="G79" s="50" t="n">
        <v>2</v>
      </c>
      <c r="H79" s="50"/>
      <c r="I79" s="53"/>
    </row>
    <row r="80" customFormat="false" ht="13.5" hidden="false" customHeight="true" outlineLevel="0" collapsed="false">
      <c r="A80" s="49"/>
      <c r="B80" s="49"/>
      <c r="C80" s="51"/>
      <c r="D80" s="50" t="s">
        <v>78</v>
      </c>
      <c r="E80" s="50" t="n">
        <v>6</v>
      </c>
      <c r="F80" s="52" t="s">
        <v>79</v>
      </c>
      <c r="G80" s="49" t="n">
        <v>3</v>
      </c>
      <c r="H80" s="50" t="s">
        <v>28</v>
      </c>
      <c r="I80" s="53"/>
    </row>
    <row r="81" customFormat="false" ht="14" hidden="false" customHeight="false" outlineLevel="0" collapsed="false">
      <c r="A81" s="49"/>
      <c r="B81" s="49"/>
      <c r="C81" s="51"/>
      <c r="D81" s="50"/>
      <c r="E81" s="50"/>
      <c r="F81" s="52" t="s">
        <v>80</v>
      </c>
      <c r="G81" s="50" t="n">
        <v>1</v>
      </c>
      <c r="H81" s="50" t="s">
        <v>72</v>
      </c>
      <c r="I81" s="53"/>
    </row>
    <row r="82" customFormat="false" ht="14" hidden="false" customHeight="false" outlineLevel="0" collapsed="false">
      <c r="A82" s="49"/>
      <c r="B82" s="49"/>
      <c r="C82" s="51"/>
      <c r="D82" s="50"/>
      <c r="E82" s="50"/>
      <c r="F82" s="52" t="s">
        <v>81</v>
      </c>
      <c r="G82" s="49" t="n">
        <v>2</v>
      </c>
      <c r="H82" s="50" t="s">
        <v>28</v>
      </c>
      <c r="I82" s="53"/>
    </row>
    <row r="83" customFormat="false" ht="13.5" hidden="false" customHeight="true" outlineLevel="0" collapsed="false">
      <c r="A83" s="49"/>
      <c r="B83" s="49"/>
      <c r="C83" s="51"/>
      <c r="D83" s="50" t="s">
        <v>57</v>
      </c>
      <c r="E83" s="50" t="n">
        <v>14</v>
      </c>
      <c r="F83" s="52" t="s">
        <v>83</v>
      </c>
      <c r="G83" s="50" t="n">
        <v>6</v>
      </c>
      <c r="H83" s="50"/>
      <c r="I83" s="53"/>
    </row>
    <row r="84" customFormat="false" ht="14" hidden="false" customHeight="false" outlineLevel="0" collapsed="false">
      <c r="A84" s="49"/>
      <c r="B84" s="49"/>
      <c r="C84" s="51"/>
      <c r="D84" s="50"/>
      <c r="E84" s="50"/>
      <c r="F84" s="52" t="s">
        <v>85</v>
      </c>
      <c r="G84" s="50" t="n">
        <v>2</v>
      </c>
      <c r="H84" s="50" t="s">
        <v>72</v>
      </c>
      <c r="I84" s="53"/>
    </row>
    <row r="85" customFormat="false" ht="14" hidden="false" customHeight="false" outlineLevel="0" collapsed="false">
      <c r="A85" s="49"/>
      <c r="B85" s="49"/>
      <c r="C85" s="51"/>
      <c r="D85" s="50"/>
      <c r="E85" s="50"/>
      <c r="F85" s="52" t="s">
        <v>88</v>
      </c>
      <c r="G85" s="50" t="n">
        <v>6</v>
      </c>
      <c r="H85" s="50"/>
      <c r="I85" s="53"/>
    </row>
    <row r="86" customFormat="false" ht="14.9" hidden="false" customHeight="true" outlineLevel="0" collapsed="false">
      <c r="A86" s="49" t="n">
        <v>7</v>
      </c>
      <c r="B86" s="50" t="s">
        <v>102</v>
      </c>
      <c r="C86" s="51" t="s">
        <v>103</v>
      </c>
      <c r="D86" s="50" t="s">
        <v>55</v>
      </c>
      <c r="E86" s="50" t="n">
        <v>4</v>
      </c>
      <c r="F86" s="52" t="s">
        <v>68</v>
      </c>
      <c r="G86" s="49" t="n">
        <v>3</v>
      </c>
      <c r="H86" s="53"/>
      <c r="I86" s="53" t="n">
        <v>5</v>
      </c>
    </row>
    <row r="87" customFormat="false" ht="14" hidden="false" customHeight="false" outlineLevel="0" collapsed="false">
      <c r="A87" s="49"/>
      <c r="B87" s="49"/>
      <c r="C87" s="51"/>
      <c r="D87" s="50"/>
      <c r="E87" s="50"/>
      <c r="F87" s="52" t="s">
        <v>71</v>
      </c>
      <c r="G87" s="50" t="n">
        <v>1</v>
      </c>
      <c r="H87" s="50" t="s">
        <v>72</v>
      </c>
      <c r="I87" s="53"/>
    </row>
    <row r="88" customFormat="false" ht="14.1" hidden="false" customHeight="true" outlineLevel="0" collapsed="false">
      <c r="A88" s="49"/>
      <c r="B88" s="49"/>
      <c r="C88" s="51"/>
      <c r="D88" s="50" t="s">
        <v>54</v>
      </c>
      <c r="E88" s="50" t="n">
        <v>16</v>
      </c>
      <c r="F88" s="52" t="s">
        <v>74</v>
      </c>
      <c r="G88" s="49"/>
      <c r="H88" s="53"/>
      <c r="I88" s="53"/>
    </row>
    <row r="89" customFormat="false" ht="14" hidden="false" customHeight="false" outlineLevel="0" collapsed="false">
      <c r="A89" s="49"/>
      <c r="B89" s="49"/>
      <c r="C89" s="51"/>
      <c r="D89" s="50"/>
      <c r="E89" s="50"/>
      <c r="F89" s="52" t="s">
        <v>75</v>
      </c>
      <c r="G89" s="49"/>
      <c r="H89" s="49"/>
      <c r="I89" s="53"/>
    </row>
    <row r="90" customFormat="false" ht="14" hidden="false" customHeight="false" outlineLevel="0" collapsed="false">
      <c r="A90" s="49"/>
      <c r="B90" s="49"/>
      <c r="C90" s="51"/>
      <c r="D90" s="50"/>
      <c r="E90" s="50"/>
      <c r="F90" s="52" t="s">
        <v>76</v>
      </c>
      <c r="G90" s="49" t="n">
        <v>14</v>
      </c>
      <c r="H90" s="53"/>
      <c r="I90" s="53"/>
    </row>
    <row r="91" customFormat="false" ht="14" hidden="false" customHeight="false" outlineLevel="0" collapsed="false">
      <c r="A91" s="49"/>
      <c r="B91" s="49"/>
      <c r="C91" s="51"/>
      <c r="D91" s="50"/>
      <c r="E91" s="50"/>
      <c r="F91" s="52" t="s">
        <v>77</v>
      </c>
      <c r="G91" s="50" t="n">
        <v>2</v>
      </c>
      <c r="H91" s="50" t="s">
        <v>72</v>
      </c>
      <c r="I91" s="53"/>
    </row>
    <row r="92" customFormat="false" ht="14.1" hidden="false" customHeight="true" outlineLevel="0" collapsed="false">
      <c r="A92" s="49"/>
      <c r="B92" s="49"/>
      <c r="C92" s="51"/>
      <c r="D92" s="50" t="s">
        <v>78</v>
      </c>
      <c r="E92" s="50" t="n">
        <v>6</v>
      </c>
      <c r="F92" s="52" t="s">
        <v>79</v>
      </c>
      <c r="G92" s="49" t="n">
        <v>3</v>
      </c>
      <c r="H92" s="53"/>
      <c r="I92" s="53"/>
    </row>
    <row r="93" customFormat="false" ht="14" hidden="false" customHeight="false" outlineLevel="0" collapsed="false">
      <c r="A93" s="49"/>
      <c r="B93" s="49"/>
      <c r="C93" s="51"/>
      <c r="D93" s="50"/>
      <c r="E93" s="50"/>
      <c r="F93" s="52" t="s">
        <v>80</v>
      </c>
      <c r="G93" s="50" t="n">
        <v>1</v>
      </c>
      <c r="H93" s="50" t="s">
        <v>72</v>
      </c>
      <c r="I93" s="53"/>
    </row>
    <row r="94" customFormat="false" ht="14" hidden="false" customHeight="false" outlineLevel="0" collapsed="false">
      <c r="A94" s="49"/>
      <c r="B94" s="49"/>
      <c r="C94" s="51"/>
      <c r="D94" s="50"/>
      <c r="E94" s="50"/>
      <c r="F94" s="52" t="s">
        <v>81</v>
      </c>
      <c r="G94" s="49" t="n">
        <v>2</v>
      </c>
      <c r="H94" s="53"/>
      <c r="I94" s="53"/>
    </row>
    <row r="95" customFormat="false" ht="14.1" hidden="false" customHeight="true" outlineLevel="0" collapsed="false">
      <c r="A95" s="49"/>
      <c r="B95" s="49"/>
      <c r="C95" s="51"/>
      <c r="D95" s="50" t="s">
        <v>57</v>
      </c>
      <c r="E95" s="50" t="n">
        <v>14</v>
      </c>
      <c r="F95" s="52" t="s">
        <v>83</v>
      </c>
      <c r="G95" s="50" t="n">
        <v>6</v>
      </c>
      <c r="H95" s="50" t="s">
        <v>28</v>
      </c>
      <c r="I95" s="53"/>
    </row>
    <row r="96" customFormat="false" ht="14" hidden="false" customHeight="false" outlineLevel="0" collapsed="false">
      <c r="A96" s="49"/>
      <c r="B96" s="49"/>
      <c r="C96" s="51"/>
      <c r="D96" s="50"/>
      <c r="E96" s="50"/>
      <c r="F96" s="52" t="s">
        <v>85</v>
      </c>
      <c r="G96" s="50" t="n">
        <v>2</v>
      </c>
      <c r="H96" s="50" t="s">
        <v>72</v>
      </c>
      <c r="I96" s="53"/>
    </row>
    <row r="97" customFormat="false" ht="14" hidden="false" customHeight="false" outlineLevel="0" collapsed="false">
      <c r="A97" s="49"/>
      <c r="B97" s="49"/>
      <c r="C97" s="51"/>
      <c r="D97" s="50"/>
      <c r="E97" s="50"/>
      <c r="F97" s="52" t="s">
        <v>88</v>
      </c>
      <c r="G97" s="50" t="n">
        <v>6</v>
      </c>
      <c r="H97" s="50" t="s">
        <v>28</v>
      </c>
      <c r="I97" s="53"/>
    </row>
    <row r="98" customFormat="false" ht="13.8" hidden="false" customHeight="false" outlineLevel="0" collapsed="false">
      <c r="I98" s="53"/>
    </row>
    <row r="99" customFormat="false" ht="13.8" hidden="false" customHeight="false" outlineLevel="0" collapsed="false">
      <c r="I99" s="53"/>
    </row>
    <row r="100" customFormat="false" ht="13.8" hidden="false" customHeight="false" outlineLevel="0" collapsed="false">
      <c r="I100" s="53"/>
    </row>
    <row r="101" customFormat="false" ht="13.8" hidden="false" customHeight="false" outlineLevel="0" collapsed="false">
      <c r="I101" s="53"/>
    </row>
    <row r="102" customFormat="false" ht="13.8" hidden="false" customHeight="false" outlineLevel="0" collapsed="false">
      <c r="I102" s="53"/>
    </row>
    <row r="103" customFormat="false" ht="13.8" hidden="false" customHeight="false" outlineLevel="0" collapsed="false">
      <c r="I103" s="53"/>
    </row>
    <row r="104" customFormat="false" ht="13.8" hidden="false" customHeight="false" outlineLevel="0" collapsed="false">
      <c r="I104" s="53"/>
    </row>
    <row r="105" customFormat="false" ht="13.8" hidden="false" customHeight="false" outlineLevel="0" collapsed="false">
      <c r="I105" s="53"/>
    </row>
    <row r="106" customFormat="false" ht="13.8" hidden="false" customHeight="false" outlineLevel="0" collapsed="false">
      <c r="I106" s="53"/>
    </row>
    <row r="107" customFormat="false" ht="13.8" hidden="false" customHeight="false" outlineLevel="0" collapsed="false">
      <c r="I107" s="53"/>
    </row>
    <row r="108" customFormat="false" ht="13.8" hidden="false" customHeight="false" outlineLevel="0" collapsed="false">
      <c r="I108" s="53"/>
    </row>
    <row r="109" customFormat="false" ht="13.8" hidden="false" customHeight="false" outlineLevel="0" collapsed="false">
      <c r="I109" s="53"/>
    </row>
  </sheetData>
  <autoFilter ref="A13:I61"/>
  <mergeCells count="90">
    <mergeCell ref="A1:G2"/>
    <mergeCell ref="A14:A25"/>
    <mergeCell ref="B14:B25"/>
    <mergeCell ref="C14:C25"/>
    <mergeCell ref="D14:D15"/>
    <mergeCell ref="E14:E15"/>
    <mergeCell ref="I14:I25"/>
    <mergeCell ref="J14:J25"/>
    <mergeCell ref="D16:D19"/>
    <mergeCell ref="E16:E19"/>
    <mergeCell ref="D20:D22"/>
    <mergeCell ref="E20:E22"/>
    <mergeCell ref="D23:D25"/>
    <mergeCell ref="E23:E25"/>
    <mergeCell ref="A26:A37"/>
    <mergeCell ref="B26:B37"/>
    <mergeCell ref="C26:C37"/>
    <mergeCell ref="D26:D27"/>
    <mergeCell ref="E26:E27"/>
    <mergeCell ref="I26:I37"/>
    <mergeCell ref="J26:J37"/>
    <mergeCell ref="D28:D31"/>
    <mergeCell ref="E28:E31"/>
    <mergeCell ref="D32:D34"/>
    <mergeCell ref="E32:E34"/>
    <mergeCell ref="D35:D37"/>
    <mergeCell ref="E35:E37"/>
    <mergeCell ref="A38:A49"/>
    <mergeCell ref="B38:B49"/>
    <mergeCell ref="C38:C49"/>
    <mergeCell ref="D38:D39"/>
    <mergeCell ref="E38:E39"/>
    <mergeCell ref="I38:I48"/>
    <mergeCell ref="J38:J49"/>
    <mergeCell ref="D40:D43"/>
    <mergeCell ref="E40:E43"/>
    <mergeCell ref="D44:D46"/>
    <mergeCell ref="E44:E46"/>
    <mergeCell ref="D47:D49"/>
    <mergeCell ref="E47:E49"/>
    <mergeCell ref="I49:I61"/>
    <mergeCell ref="A50:A61"/>
    <mergeCell ref="B50:B61"/>
    <mergeCell ref="C50:C61"/>
    <mergeCell ref="D50:D51"/>
    <mergeCell ref="E50:E51"/>
    <mergeCell ref="J50:J61"/>
    <mergeCell ref="D52:D55"/>
    <mergeCell ref="E52:E55"/>
    <mergeCell ref="D56:D58"/>
    <mergeCell ref="E56:E58"/>
    <mergeCell ref="D59:D61"/>
    <mergeCell ref="E59:E61"/>
    <mergeCell ref="A62:A73"/>
    <mergeCell ref="B62:B73"/>
    <mergeCell ref="C62:C73"/>
    <mergeCell ref="D62:D63"/>
    <mergeCell ref="E62:E63"/>
    <mergeCell ref="I62:I72"/>
    <mergeCell ref="D64:D67"/>
    <mergeCell ref="E64:E67"/>
    <mergeCell ref="D68:D70"/>
    <mergeCell ref="E68:E70"/>
    <mergeCell ref="D71:D73"/>
    <mergeCell ref="E71:E73"/>
    <mergeCell ref="A74:A85"/>
    <mergeCell ref="B74:B85"/>
    <mergeCell ref="C74:C85"/>
    <mergeCell ref="D74:D75"/>
    <mergeCell ref="E74:E75"/>
    <mergeCell ref="I74:I84"/>
    <mergeCell ref="D76:D79"/>
    <mergeCell ref="E76:E79"/>
    <mergeCell ref="D80:D82"/>
    <mergeCell ref="E80:E82"/>
    <mergeCell ref="D83:D85"/>
    <mergeCell ref="E83:E85"/>
    <mergeCell ref="A86:A97"/>
    <mergeCell ref="B86:B97"/>
    <mergeCell ref="C86:C97"/>
    <mergeCell ref="D86:D87"/>
    <mergeCell ref="E86:E87"/>
    <mergeCell ref="I86:I96"/>
    <mergeCell ref="D88:D91"/>
    <mergeCell ref="E88:E91"/>
    <mergeCell ref="D92:D94"/>
    <mergeCell ref="E92:E94"/>
    <mergeCell ref="D95:D97"/>
    <mergeCell ref="E95:E97"/>
    <mergeCell ref="I97:I109"/>
  </mergeCells>
  <dataValidations count="1">
    <dataValidation allowBlank="true" errorStyle="stop" operator="equal" showDropDown="false" showErrorMessage="true" showInputMessage="true" sqref="R14:R61" type="list">
      <formula1>$AO$15:$AO$38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1" activeCellId="0" sqref="D21"/>
    </sheetView>
  </sheetViews>
  <sheetFormatPr defaultColWidth="9.1171875" defaultRowHeight="14.25" zeroHeight="false" outlineLevelRow="0" outlineLevelCol="0"/>
  <cols>
    <col collapsed="false" customWidth="false" hidden="false" outlineLevel="0" max="1" min="1" style="26" width="9.11"/>
    <col collapsed="false" customWidth="true" hidden="false" outlineLevel="0" max="2" min="2" style="26" width="15.22"/>
    <col collapsed="false" customWidth="false" hidden="false" outlineLevel="0" max="4" min="3" style="26" width="9.11"/>
    <col collapsed="false" customWidth="true" hidden="false" outlineLevel="0" max="5" min="5" style="26" width="11"/>
    <col collapsed="false" customWidth="false" hidden="false" outlineLevel="0" max="1024" min="6" style="26" width="9.11"/>
  </cols>
  <sheetData>
    <row r="1" customFormat="false" ht="14.25" hidden="false" customHeight="false" outlineLevel="0" collapsed="false">
      <c r="A1" s="26" t="s">
        <v>104</v>
      </c>
      <c r="C1" s="26" t="n">
        <v>80</v>
      </c>
    </row>
    <row r="2" customFormat="false" ht="14.25" hidden="false" customHeight="false" outlineLevel="0" collapsed="false">
      <c r="C2" s="26" t="s">
        <v>30</v>
      </c>
      <c r="E2" s="26" t="s">
        <v>105</v>
      </c>
    </row>
    <row r="3" customFormat="false" ht="13.8" hidden="false" customHeight="false" outlineLevel="0" collapsed="false">
      <c r="B3" s="60" t="s">
        <v>106</v>
      </c>
      <c r="E3" s="26" t="n">
        <f aca="false">C3*100/C1</f>
        <v>0</v>
      </c>
    </row>
    <row r="4" customFormat="false" ht="13.8" hidden="false" customHeight="false" outlineLevel="0" collapsed="false">
      <c r="B4" s="26" t="s">
        <v>70</v>
      </c>
      <c r="E4" s="26" t="n">
        <f aca="false">C4*100/C1</f>
        <v>0</v>
      </c>
    </row>
    <row r="5" customFormat="false" ht="13.8" hidden="false" customHeight="false" outlineLevel="0" collapsed="false">
      <c r="B5" s="26" t="s">
        <v>107</v>
      </c>
      <c r="E5" s="26" t="n">
        <f aca="false">C5*100/C1</f>
        <v>0</v>
      </c>
      <c r="N5" s="26" t="n">
        <f aca="false">80*5</f>
        <v>400</v>
      </c>
    </row>
    <row r="6" customFormat="false" ht="13.8" hidden="false" customHeight="false" outlineLevel="0" collapsed="false">
      <c r="B6" s="26" t="s">
        <v>95</v>
      </c>
      <c r="E6" s="26" t="n">
        <f aca="false">C6*100/C1</f>
        <v>0</v>
      </c>
    </row>
    <row r="7" customFormat="false" ht="13.8" hidden="false" customHeight="false" outlineLevel="0" collapsed="false">
      <c r="B7" s="60" t="s">
        <v>12</v>
      </c>
      <c r="E7" s="26" t="n">
        <f aca="false">C7*100/C1</f>
        <v>0</v>
      </c>
    </row>
    <row r="8" customFormat="false" ht="13.8" hidden="false" customHeight="false" outlineLevel="0" collapsed="false">
      <c r="B8" s="61" t="s">
        <v>15</v>
      </c>
      <c r="E8" s="26" t="n">
        <f aca="false">C8*100/C1</f>
        <v>0</v>
      </c>
    </row>
    <row r="9" customFormat="false" ht="13.8" hidden="false" customHeight="false" outlineLevel="0" collapsed="false">
      <c r="B9" s="61" t="s">
        <v>13</v>
      </c>
      <c r="E9" s="26" t="n">
        <f aca="false">C9*100/C1</f>
        <v>0</v>
      </c>
    </row>
    <row r="10" customFormat="false" ht="13.8" hidden="false" customHeight="false" outlineLevel="0" collapsed="false">
      <c r="B10" s="60" t="s">
        <v>108</v>
      </c>
      <c r="E10" s="26" t="n">
        <f aca="false">C10*100/C1</f>
        <v>0</v>
      </c>
    </row>
    <row r="11" customFormat="false" ht="13.8" hidden="false" customHeight="false" outlineLevel="0" collapsed="false">
      <c r="B11" s="60" t="s">
        <v>109</v>
      </c>
      <c r="E11" s="26" t="n">
        <f aca="false">C11*100/C1</f>
        <v>0</v>
      </c>
    </row>
    <row r="12" customFormat="false" ht="13.8" hidden="false" customHeight="false" outlineLevel="0" collapsed="false">
      <c r="B12" s="60" t="s">
        <v>91</v>
      </c>
      <c r="E12" s="26" t="n">
        <f aca="false">C12*100/C1</f>
        <v>0</v>
      </c>
    </row>
    <row r="13" customFormat="false" ht="13.8" hidden="false" customHeight="false" outlineLevel="0" collapsed="false">
      <c r="B13" s="26" t="s">
        <v>110</v>
      </c>
      <c r="E13" s="26" t="n">
        <f aca="false">C13*100/C1</f>
        <v>0</v>
      </c>
    </row>
    <row r="14" customFormat="false" ht="13.8" hidden="false" customHeight="false" outlineLevel="0" collapsed="false"/>
    <row r="15" customFormat="false" ht="13.8" hidden="false" customHeight="false" outlineLevel="0" collapsed="false">
      <c r="B15" s="26" t="s">
        <v>111</v>
      </c>
      <c r="E15" s="26" t="n">
        <f aca="false">C15*100/C1</f>
        <v>0</v>
      </c>
    </row>
    <row r="16" customFormat="false" ht="13.8" hidden="false" customHeight="false" outlineLevel="0" collapsed="false">
      <c r="B16" s="60" t="s">
        <v>16</v>
      </c>
      <c r="E16" s="26" t="n">
        <f aca="false">C16*100/C1</f>
        <v>0</v>
      </c>
    </row>
    <row r="17" customFormat="false" ht="13.8" hidden="false" customHeight="false" outlineLevel="0" collapsed="false">
      <c r="B17" s="60" t="s">
        <v>28</v>
      </c>
      <c r="E17" s="26" t="n">
        <f aca="false">C17*100/C1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12863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2021-04-16T08:04:40Z</dcterms:created>
  <dc:creator>Kumaresan R.</dc:creator>
  <dc:description/>
  <dc:language>en-IN</dc:language>
  <cp:lastModifiedBy/>
  <cp:lastPrinted>2021-07-16T11:06:02Z</cp:lastPrinted>
  <dcterms:modified xsi:type="dcterms:W3CDTF">2024-07-23T11:55:50Z</dcterms:modified>
  <cp:revision>1366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